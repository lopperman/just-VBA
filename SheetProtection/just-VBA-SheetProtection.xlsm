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SheetProtection/"/>
    </mc:Choice>
  </mc:AlternateContent>
  <xr:revisionPtr revIDLastSave="0" documentId="13_ncr:1_{C863F23D-538A-3347-8DF4-1D7204E10001}" xr6:coauthVersionLast="47" xr6:coauthVersionMax="47" xr10:uidLastSave="{00000000-0000-0000-0000-000000000000}"/>
  <bookViews>
    <workbookView xWindow="3180" yWindow="1440" windowWidth="40500" windowHeight="25900" activeTab="2" xr2:uid="{DED2F872-F875-A84E-99F6-0D8DC2D1DB5F}"/>
  </bookViews>
  <sheets>
    <sheet name="Demo" sheetId="1" r:id="rId1"/>
    <sheet name="Sheet1" sheetId="2" r:id="rId2"/>
    <sheet name="Sheet2" sheetId="3" r:id="rId3"/>
    <sheet name="Sheet3" sheetId="4" r:id="rId4"/>
  </sheets>
  <functionGroups builtInGroupCount="19"/>
  <definedNames>
    <definedName name="_xlpm.c" hidden="1" xlm="1">#NAME?</definedName>
    <definedName name="_xlpm.r" hidden="1" xlm="1">#NAME?</definedName>
    <definedName name="ENUM_CALC_INFO">Demo!$L$31:$P$31</definedName>
    <definedName name="FIND_ENUM">Demo!$M$16:$M$30</definedName>
    <definedName name="FIND_ENUM_VAL">Demo!$L$16:$L$30</definedName>
    <definedName name="SHEET1_RESULTS">Demo!$N$47:$P$60</definedName>
    <definedName name="SHEET2_RESULTS">Demo!$N$64:$P$77</definedName>
    <definedName name="SHEET3_RESULTS">Demo!$N$81:$P$94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1" i="1" l="1" a="1"/>
  <c r="P31" i="1" s="1"/>
  <c r="O31" i="1" a="1"/>
  <c r="O31" i="1" s="1"/>
  <c r="N31" i="1" a="1"/>
  <c r="N31" i="1" s="1"/>
  <c r="N15" i="1" a="1"/>
  <c r="L31" i="1" a="1"/>
  <c r="N15" i="1" l="1"/>
  <c r="L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<sst xmlns="http://schemas.openxmlformats.org/spreadsheetml/2006/main" count="146" uniqueCount="34">
  <si>
    <t>Q: WHAT IS IT?</t>
  </si>
  <si>
    <t>just-VBA: Worksheet Protection</t>
  </si>
  <si>
    <t>Sheet1</t>
  </si>
  <si>
    <t>(Options)</t>
  </si>
  <si>
    <t>protectDrawingObjects</t>
  </si>
  <si>
    <t>protectContents</t>
  </si>
  <si>
    <t>protectScenarios</t>
  </si>
  <si>
    <t>userInterfaceOnly</t>
  </si>
  <si>
    <t>allowFormattingCells</t>
  </si>
  <si>
    <t>allowFormattingColumns</t>
  </si>
  <si>
    <t>allowFormattingRows</t>
  </si>
  <si>
    <t>allowInsertingColumns</t>
  </si>
  <si>
    <t>allowInsertingRows</t>
  </si>
  <si>
    <t>allowInsertingHyperlinks</t>
  </si>
  <si>
    <t>allowDeletingColumns</t>
  </si>
  <si>
    <t>allowDeletingRows</t>
  </si>
  <si>
    <t>allowSorting</t>
  </si>
  <si>
    <t>allowFiltering</t>
  </si>
  <si>
    <t>allowUsingPivotTables</t>
  </si>
  <si>
    <t>USER INTERFACE ONLY FORCED?</t>
  </si>
  <si>
    <t xml:space="preserve"> &lt;-- (Formula)</t>
  </si>
  <si>
    <t>&lt;-- 
DOUBLE-CLICK TO TOGGLE VALUES
&lt;--</t>
  </si>
  <si>
    <t>Sheet2</t>
  </si>
  <si>
    <t>Sheet3</t>
  </si>
  <si>
    <t>WITH OPTIONS SET ABOVE, THE RESULTS BELOW SHOW WHETER ITEMS ASSOCIATED WITH PROTECTION AREAS WERE ABLE TO BE MODIFIED BY VBA WHEN WORKBOOK WAS OPENED</t>
  </si>
  <si>
    <t>SheetProtection Enum Option</t>
  </si>
  <si>
    <t>Unprotected</t>
  </si>
  <si>
    <t>User Interface Only = True</t>
  </si>
  <si>
    <t xml:space="preserve">User Interface Only = False </t>
  </si>
  <si>
    <t>SHEET 1</t>
  </si>
  <si>
    <t>SHEET 2</t>
  </si>
  <si>
    <t>SHEET 3</t>
  </si>
  <si>
    <t>PASS: 1/13/24 7:15:54 PM</t>
  </si>
  <si>
    <t>PASS: 1/13/24 7:15:55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</si>
</sst>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</font>
    <font>
      <b/>
      <sz val="22"/>
      <color theme="4" tint="-0.249977111117893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8" tint="-0.249977111117893"/>
      <name val="Calibri (Body)"/>
    </font>
    <font>
      <b/>
      <sz val="12"/>
      <color theme="1"/>
      <name val="Calibri"/>
      <family val="2"/>
    </font>
    <font>
      <b/>
      <sz val="12"/>
      <color rgb="FF0432FF"/>
      <name val="Calibri"/>
      <family val="2"/>
    </font>
    <font>
      <b/>
      <sz val="12"/>
      <color rgb="FFC00000"/>
      <name val="Calibri"/>
      <family val="2"/>
    </font>
    <font>
      <b/>
      <sz val="14"/>
      <color theme="1"/>
      <name val="Calibri"/>
      <family val="2"/>
    </font>
    <font>
      <b/>
      <sz val="18"/>
      <color theme="1"/>
      <name val="Calibri"/>
      <family val="2"/>
    </font>
    <font>
      <b/>
      <sz val="14"/>
      <color theme="1" tint="0.499984740745262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  <font>
      <u/>
      <sz val="12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 vertical="top" wrapText="1"/>
    </xf>
    <xf numFmtId="0" fontId="0" fillId="0" borderId="0" xfId="0" applyAlignment="1" applyProtection="1">
      <alignment horizontal="center" vertical="top" wrapText="1"/>
    </xf>
    <xf numFmtId="0" fontId="1" fillId="2" borderId="0" xfId="0" quotePrefix="1" applyFont="1" applyFill="1" applyAlignment="1" applyProtection="1">
      <alignment horizontal="center"/>
    </xf>
    <xf numFmtId="0" fontId="0" fillId="0" borderId="0" xfId="0" applyAlignment="1" applyProtection="1">
      <alignment vertical="center" wrapText="1"/>
    </xf>
    <xf numFmtId="0" fontId="4" fillId="0" borderId="2" xfId="0" applyFont="1" applyBorder="1" applyAlignment="1" applyProtection="1">
      <alignment horizontal="right" wrapText="1"/>
    </xf>
    <xf numFmtId="0" fontId="4" fillId="0" borderId="1" xfId="0" applyFont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left"/>
    </xf>
    <xf numFmtId="0" fontId="4" fillId="0" borderId="7" xfId="0" applyFont="1" applyBorder="1" applyAlignment="1" applyProtection="1">
      <alignment horizontal="right" wrapText="1"/>
    </xf>
    <xf numFmtId="0" fontId="6" fillId="0" borderId="6" xfId="0" applyFont="1" applyBorder="1" applyAlignment="1" applyProtection="1">
      <alignment horizontal="right"/>
    </xf>
    <xf numFmtId="0" fontId="6" fillId="0" borderId="1" xfId="0" applyFont="1" applyBorder="1" applyAlignment="1" applyProtection="1">
      <alignment horizontal="center"/>
    </xf>
    <xf numFmtId="0" fontId="4" fillId="0" borderId="0" xfId="0" quotePrefix="1" applyFont="1" applyProtection="1"/>
    <xf numFmtId="0" fontId="3" fillId="2" borderId="0" xfId="0" applyFont="1" applyFill="1" applyAlignment="1" applyProtection="1">
      <alignment horizontal="left" vertical="top" wrapText="1" indent="2"/>
    </xf>
    <xf numFmtId="0" fontId="0" fillId="0" borderId="2" xfId="0" applyBorder="1" applyProtection="1"/>
    <xf numFmtId="0" fontId="5" fillId="0" borderId="2" xfId="0" applyFont="1" applyBorder="1" applyAlignment="1" applyProtection="1">
      <alignment horizontal="right" vertical="center"/>
    </xf>
    <xf numFmtId="0" fontId="0" fillId="0" borderId="1" xfId="0" applyBorder="1" applyProtection="1"/>
    <xf numFmtId="0" fontId="0" fillId="2" borderId="4" xfId="0" applyFill="1" applyBorder="1" applyAlignment="1" applyProtection="1">
      <alignment horizontal="center" vertical="center" wrapText="1"/>
    </xf>
    <xf numFmtId="0" fontId="0" fillId="0" borderId="8" xfId="0" applyBorder="1" applyProtection="1"/>
    <xf numFmtId="0" fontId="5" fillId="0" borderId="8" xfId="0" applyFont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center" vertical="center" wrapText="1"/>
    </xf>
    <xf numFmtId="0" fontId="6" fillId="0" borderId="8" xfId="0" applyFont="1" applyBorder="1" applyAlignment="1" applyProtection="1">
      <alignment horizontal="right" vertical="center"/>
    </xf>
    <xf numFmtId="0" fontId="6" fillId="0" borderId="1" xfId="0" applyFont="1" applyBorder="1" applyProtection="1"/>
    <xf numFmtId="0" fontId="0" fillId="0" borderId="7" xfId="0" applyBorder="1" applyProtection="1"/>
    <xf numFmtId="0" fontId="5" fillId="0" borderId="7" xfId="0" applyFont="1" applyBorder="1" applyAlignment="1" applyProtection="1">
      <alignment horizontal="right" vertical="center"/>
    </xf>
    <xf numFmtId="0" fontId="0" fillId="2" borderId="5" xfId="0" applyFill="1" applyBorder="1" applyAlignment="1" applyProtection="1">
      <alignment horizontal="center" vertical="center" wrapText="1"/>
    </xf>
    <xf numFmtId="0" fontId="9" fillId="4" borderId="9" xfId="0" applyFont="1" applyFill="1" applyBorder="1" applyAlignment="1" applyProtection="1">
      <alignment horizontal="right" vertical="center"/>
    </xf>
    <xf numFmtId="0" fontId="9" fillId="4" borderId="6" xfId="0" applyFont="1" applyFill="1" applyBorder="1" applyAlignment="1" applyProtection="1">
      <alignment horizontal="right" vertical="center"/>
    </xf>
    <xf numFmtId="0" fontId="7" fillId="4" borderId="1" xfId="0" applyFont="1" applyFill="1" applyBorder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3" borderId="10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8" fillId="3" borderId="12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14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right" vertical="center"/>
    </xf>
    <xf numFmtId="0" fontId="10" fillId="0" borderId="15" xfId="0" applyFont="1" applyBorder="1" applyAlignment="1" applyProtection="1">
      <alignment vertical="center" wrapText="1"/>
    </xf>
    <xf numFmtId="0" fontId="10" fillId="0" borderId="1" xfId="0" applyFont="1" applyBorder="1" applyAlignment="1" applyProtection="1">
      <alignment vertical="center" wrapText="1"/>
    </xf>
    <xf numFmtId="0" fontId="11" fillId="0" borderId="16" xfId="0" applyFont="1" applyBorder="1" applyAlignment="1" applyProtection="1">
      <alignment vertical="center" wrapText="1"/>
    </xf>
    <xf numFmtId="0" fontId="0" fillId="0" borderId="0" xfId="0" applyAlignment="1" applyProtection="1">
      <alignment wrapText="1"/>
    </xf>
    <xf numFmtId="0" fontId="10" fillId="0" borderId="16" xfId="0" applyFont="1" applyBorder="1" applyAlignment="1" applyProtection="1">
      <alignment vertical="center" wrapText="1"/>
    </xf>
    <xf numFmtId="0" fontId="5" fillId="5" borderId="0" xfId="0" applyFont="1" applyFill="1" applyAlignment="1" applyProtection="1">
      <alignment horizontal="right" vertical="center"/>
    </xf>
    <xf numFmtId="0" fontId="11" fillId="5" borderId="15" xfId="0" applyFont="1" applyFill="1" applyBorder="1" applyAlignment="1" applyProtection="1">
      <alignment vertical="center" wrapText="1"/>
    </xf>
    <xf numFmtId="0" fontId="11" fillId="5" borderId="1" xfId="0" applyFont="1" applyFill="1" applyBorder="1" applyAlignment="1" applyProtection="1">
      <alignment vertical="center" wrapText="1"/>
    </xf>
    <xf numFmtId="0" fontId="11" fillId="5" borderId="16" xfId="0" applyFont="1" applyFill="1" applyBorder="1" applyAlignment="1" applyProtection="1">
      <alignment vertical="center" wrapText="1"/>
    </xf>
    <xf numFmtId="0" fontId="4" fillId="5" borderId="15" xfId="0" applyFont="1" applyFill="1" applyBorder="1" applyAlignment="1" applyProtection="1">
      <alignment vertical="center" wrapText="1"/>
    </xf>
    <xf numFmtId="0" fontId="4" fillId="5" borderId="1" xfId="0" applyFont="1" applyFill="1" applyBorder="1" applyAlignment="1" applyProtection="1">
      <alignment vertical="center" wrapText="1"/>
    </xf>
    <xf numFmtId="0" fontId="4" fillId="5" borderId="16" xfId="0" applyFont="1" applyFill="1" applyBorder="1" applyAlignment="1" applyProtection="1">
      <alignment vertical="center" wrapText="1"/>
    </xf>
    <xf numFmtId="0" fontId="4" fillId="5" borderId="17" xfId="0" applyFont="1" applyFill="1" applyBorder="1" applyAlignment="1" applyProtection="1">
      <alignment vertical="center" wrapText="1"/>
    </xf>
    <xf numFmtId="0" fontId="4" fillId="5" borderId="18" xfId="0" applyFont="1" applyFill="1" applyBorder="1" applyAlignment="1" applyProtection="1">
      <alignment vertical="center" wrapText="1"/>
    </xf>
    <xf numFmtId="0" fontId="4" fillId="5" borderId="19" xfId="0" applyFont="1" applyFill="1" applyBorder="1" applyAlignment="1" applyProtection="1">
      <alignment vertical="center" wrapText="1"/>
    </xf>
    <xf numFmtId="0" fontId="10" fillId="5" borderId="15" xfId="0" applyFont="1" applyFill="1" applyBorder="1" applyAlignment="1" applyProtection="1">
      <alignment vertical="center" wrapText="1"/>
    </xf>
    <xf numFmtId="0" fontId="10" fillId="5" borderId="1" xfId="0" applyFont="1" applyFill="1" applyBorder="1" applyAlignment="1" applyProtection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2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eddit.com/user/ITFuture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1</xdr:row>
      <xdr:rowOff>38100</xdr:rowOff>
    </xdr:from>
    <xdr:to>
      <xdr:col>8</xdr:col>
      <xdr:colOff>787400</xdr:colOff>
      <xdr:row>5</xdr:row>
      <xdr:rowOff>101600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15F65B6-B343-264D-A490-5602FFA3C760}"/>
            </a:ext>
          </a:extLst>
        </xdr:cNvPr>
        <xdr:cNvGrpSpPr/>
      </xdr:nvGrpSpPr>
      <xdr:grpSpPr>
        <a:xfrm>
          <a:off x="1397000" y="241300"/>
          <a:ext cx="5994400" cy="876300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1825713A-DD08-21AE-40C3-0BAEC1B6C380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811A4ACC-1901-4141-2446-2C514CAA6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5C37C687-7F42-CBD3-E2FA-BF3E5F4CD0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A298ECFC-2123-0D32-75B3-F3AD00B78844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Worksheet Protection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7A9451C-5D78-2A6F-2929-A3854973D0B3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How To's and Lessons Learned about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Worksheet Protection using VBA for MS Excel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13</xdr:col>
      <xdr:colOff>311150</xdr:colOff>
      <xdr:row>1</xdr:row>
      <xdr:rowOff>50800</xdr:rowOff>
    </xdr:from>
    <xdr:to>
      <xdr:col>13</xdr:col>
      <xdr:colOff>1360299</xdr:colOff>
      <xdr:row>9</xdr:row>
      <xdr:rowOff>38100</xdr:rowOff>
    </xdr:to>
    <xdr:pic>
      <xdr:nvPicPr>
        <xdr:cNvPr id="59" name="wsDemo_graphic">
          <a:extLst>
            <a:ext uri="{FF2B5EF4-FFF2-40B4-BE49-F238E27FC236}">
              <a16:creationId xmlns:a16="http://schemas.microsoft.com/office/drawing/2014/main" id="{8DB6E888-6A0D-D94F-86D1-8D5CCA69E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9050" y="254000"/>
          <a:ext cx="1049149" cy="1701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330200</xdr:colOff>
      <xdr:row>7</xdr:row>
      <xdr:rowOff>109163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81E215E-649B-22BB-5A1F-B489AB133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155700" cy="1531563"/>
        </a:xfrm>
        <a:prstGeom prst="rect">
          <a:avLst/>
        </a:prstGeom>
      </xdr:spPr>
    </xdr:pic>
    <xdr:clientData/>
  </xdr:twoCellAnchor>
  <xdr:twoCellAnchor editAs="oneCell">
    <xdr:from>
      <xdr:col>10</xdr:col>
      <xdr:colOff>812800</xdr:colOff>
      <xdr:row>32</xdr:row>
      <xdr:rowOff>38100</xdr:rowOff>
    </xdr:from>
    <xdr:to>
      <xdr:col>15</xdr:col>
      <xdr:colOff>1587500</xdr:colOff>
      <xdr:row>35</xdr:row>
      <xdr:rowOff>127000</xdr:rowOff>
    </xdr:to>
    <xdr:sp macro="ButtonAction" textlink="">
      <xdr:nvSpPr>
        <xdr:cNvPr id="2" name="btnResetToDefault">
          <a:extLst>
            <a:ext uri="{FF2B5EF4-FFF2-40B4-BE49-F238E27FC236}">
              <a16:creationId xmlns:a16="http://schemas.microsoft.com/office/drawing/2014/main" id="{7F8F6D3C-8831-EE40-8D53-274025B05BEC}"/>
            </a:ext>
          </a:extLst>
        </xdr:cNvPr>
        <xdr:cNvSpPr/>
      </xdr:nvSpPr>
      <xdr:spPr>
        <a:xfrm>
          <a:off x="9067800" y="68326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</a:t>
          </a:r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RESET ABOVE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DEFAULT PROTECTION SETTINGS (pbProtection.DefaultProtectOptions)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10</xdr:col>
      <xdr:colOff>812800</xdr:colOff>
      <xdr:row>36</xdr:row>
      <xdr:rowOff>25400</xdr:rowOff>
    </xdr:from>
    <xdr:to>
      <xdr:col>15</xdr:col>
      <xdr:colOff>1587500</xdr:colOff>
      <xdr:row>39</xdr:row>
      <xdr:rowOff>114300</xdr:rowOff>
    </xdr:to>
    <xdr:sp macro="ButtonAction" textlink="">
      <xdr:nvSpPr>
        <xdr:cNvPr id="9" name="btnDemo">
          <a:extLst>
            <a:ext uri="{FF2B5EF4-FFF2-40B4-BE49-F238E27FC236}">
              <a16:creationId xmlns:a16="http://schemas.microsoft.com/office/drawing/2014/main" id="{33398D74-E365-3741-98B8-3607BA79B240}"/>
            </a:ext>
          </a:extLst>
        </xdr:cNvPr>
        <xdr:cNvSpPr/>
      </xdr:nvSpPr>
      <xdr:spPr>
        <a:xfrm>
          <a:off x="9067800" y="76327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 TO RUN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TESTS FOR SHEET1, SHEET2, AND SHEET3</a:t>
          </a:r>
        </a:p>
        <a:p>
          <a:pPr indent="0" algn="ctr"/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RESULTS WILL APPEAR BELOW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0</xdr:rowOff>
    </xdr:from>
    <xdr:to>
      <xdr:col>0</xdr:col>
      <xdr:colOff>762000</xdr:colOff>
      <xdr:row>6</xdr:row>
      <xdr:rowOff>0</xdr:rowOff>
    </xdr:to>
    <xdr:sp macro="" textlink="">
      <xdr:nvSpPr>
        <xdr:cNvPr id="2" name="shp693547">
          <a:extLst>
            <a:ext uri="{FF2B5EF4-FFF2-40B4-BE49-F238E27FC236}">
              <a16:creationId xmlns:a16="http://schemas.microsoft.com/office/drawing/2014/main" id="{795FA365-4B9C-9F8C-64AA-8042CC35EB8C}"/>
            </a:ext>
          </a:extLst>
        </xdr:cNvPr>
        <xdr:cNvSpPr/>
      </xdr:nvSpPr>
      <xdr:spPr>
        <a:xfrm>
          <a:off x="127000" y="127000"/>
          <a:ext cx="635000" cy="635000"/>
        </a:xfrm>
        <a:prstGeom prst="clou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</xdr:row>
      <xdr:rowOff>0</xdr:rowOff>
    </xdr:from>
    <xdr:to>
      <xdr:col>0</xdr:col>
      <xdr:colOff>762000</xdr:colOff>
      <xdr:row>6</xdr:row>
      <xdr:rowOff>0</xdr:rowOff>
    </xdr:to>
    <xdr:sp macro="" textlink="">
      <xdr:nvSpPr>
        <xdr:cNvPr id="3" name="shp6935509">
          <a:extLst>
            <a:ext uri="{FF2B5EF4-FFF2-40B4-BE49-F238E27FC236}">
              <a16:creationId xmlns:a16="http://schemas.microsoft.com/office/drawing/2014/main" id="{E3DCE1A9-2388-4910-D741-17FD3A33C0AC}"/>
            </a:ext>
          </a:extLst>
        </xdr:cNvPr>
        <xdr:cNvSpPr/>
      </xdr:nvSpPr>
      <xdr:spPr>
        <a:xfrm>
          <a:off x="127000" y="127000"/>
          <a:ext cx="635000" cy="635000"/>
        </a:xfrm>
        <a:prstGeom prst="clou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0</xdr:rowOff>
    </xdr:from>
    <xdr:to>
      <xdr:col>0</xdr:col>
      <xdr:colOff>762000</xdr:colOff>
      <xdr:row>6</xdr:row>
      <xdr:rowOff>0</xdr:rowOff>
    </xdr:to>
    <xdr:sp macro="" textlink="">
      <xdr:nvSpPr>
        <xdr:cNvPr id="2" name="shp6935484">
          <a:extLst>
            <a:ext uri="{FF2B5EF4-FFF2-40B4-BE49-F238E27FC236}">
              <a16:creationId xmlns:a16="http://schemas.microsoft.com/office/drawing/2014/main" id="{5E45B965-FE26-E38E-7153-C65A3057A6D7}"/>
            </a:ext>
          </a:extLst>
        </xdr:cNvPr>
        <xdr:cNvSpPr/>
      </xdr:nvSpPr>
      <xdr:spPr>
        <a:xfrm>
          <a:off x="127000" y="127000"/>
          <a:ext cx="635000" cy="635000"/>
        </a:xfrm>
        <a:prstGeom prst="clou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</xdr:row>
      <xdr:rowOff>0</xdr:rowOff>
    </xdr:from>
    <xdr:to>
      <xdr:col>0</xdr:col>
      <xdr:colOff>762000</xdr:colOff>
      <xdr:row>6</xdr:row>
      <xdr:rowOff>0</xdr:rowOff>
    </xdr:to>
    <xdr:sp macro="" textlink="">
      <xdr:nvSpPr>
        <xdr:cNvPr id="3" name="shp6935518">
          <a:extLst>
            <a:ext uri="{FF2B5EF4-FFF2-40B4-BE49-F238E27FC236}">
              <a16:creationId xmlns:a16="http://schemas.microsoft.com/office/drawing/2014/main" id="{9D452748-731D-F40A-5174-B5E535FB23D8}"/>
            </a:ext>
          </a:extLst>
        </xdr:cNvPr>
        <xdr:cNvSpPr/>
      </xdr:nvSpPr>
      <xdr:spPr>
        <a:xfrm>
          <a:off x="127000" y="127000"/>
          <a:ext cx="635000" cy="635000"/>
        </a:xfrm>
        <a:prstGeom prst="clou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0</xdr:rowOff>
    </xdr:from>
    <xdr:to>
      <xdr:col>0</xdr:col>
      <xdr:colOff>762000</xdr:colOff>
      <xdr:row>6</xdr:row>
      <xdr:rowOff>0</xdr:rowOff>
    </xdr:to>
    <xdr:sp macro="" textlink="">
      <xdr:nvSpPr>
        <xdr:cNvPr id="2" name="shp6935494">
          <a:extLst>
            <a:ext uri="{FF2B5EF4-FFF2-40B4-BE49-F238E27FC236}">
              <a16:creationId xmlns:a16="http://schemas.microsoft.com/office/drawing/2014/main" id="{AEF7FC9D-015E-B291-B5C5-50E4CB9EB6DB}"/>
            </a:ext>
          </a:extLst>
        </xdr:cNvPr>
        <xdr:cNvSpPr/>
      </xdr:nvSpPr>
      <xdr:spPr>
        <a:xfrm>
          <a:off x="127000" y="127000"/>
          <a:ext cx="635000" cy="635000"/>
        </a:xfrm>
        <a:prstGeom prst="clou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</xdr:row>
      <xdr:rowOff>0</xdr:rowOff>
    </xdr:from>
    <xdr:to>
      <xdr:col>0</xdr:col>
      <xdr:colOff>762000</xdr:colOff>
      <xdr:row>6</xdr:row>
      <xdr:rowOff>0</xdr:rowOff>
    </xdr:to>
    <xdr:sp macro="" textlink="">
      <xdr:nvSpPr>
        <xdr:cNvPr id="3" name="shp6935526">
          <a:extLst>
            <a:ext uri="{FF2B5EF4-FFF2-40B4-BE49-F238E27FC236}">
              <a16:creationId xmlns:a16="http://schemas.microsoft.com/office/drawing/2014/main" id="{6F0A56DA-25C0-06ED-808E-481A0DB60746}"/>
            </a:ext>
          </a:extLst>
        </xdr:cNvPr>
        <xdr:cNvSpPr/>
      </xdr:nvSpPr>
      <xdr:spPr>
        <a:xfrm>
          <a:off x="127000" y="127000"/>
          <a:ext cx="635000" cy="635000"/>
        </a:xfrm>
        <a:prstGeom prst="clou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reddit.com/r/vba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reddit.com/r/vba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reddit.com/r/vb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8BAA-E085-4E49-9535-95B62A116C34}">
  <sheetPr codeName="wsDemo">
    <tabColor rgb="FF0432FF"/>
  </sheetPr>
  <dimension ref="B2:S94"/>
  <sheetViews>
    <sheetView showGridLines="0" zoomScaleNormal="100" workbookViewId="0">
      <selection activeCell="M47" sqref="M47:M57"/>
    </sheetView>
  </sheetViews>
  <sheetFormatPr baseColWidth="10" defaultRowHeight="16" x14ac:dyDescent="0.2"/>
  <cols>
    <col min="1" max="11" width="10.83203125" style="1"/>
    <col min="12" max="12" width="14.5" style="1" customWidth="1"/>
    <col min="13" max="13" width="29.1640625" style="1" bestFit="1" customWidth="1"/>
    <col min="14" max="15" width="23" style="1" bestFit="1" customWidth="1"/>
    <col min="16" max="16" width="23.83203125" style="1" bestFit="1" customWidth="1"/>
    <col min="17" max="22" width="15.6640625" style="1" customWidth="1"/>
    <col min="23" max="16384" width="10.83203125" style="1"/>
  </cols>
  <sheetData>
    <row r="2" spans="2:17" ht="16" customHeight="1" x14ac:dyDescent="0.2"/>
    <row r="3" spans="2:17" ht="16" customHeight="1" x14ac:dyDescent="0.2"/>
    <row r="7" spans="2:17" ht="19" customHeight="1" x14ac:dyDescent="0.2"/>
    <row r="8" spans="2:17" ht="20" customHeight="1" x14ac:dyDescent="0.2">
      <c r="B8" s="2"/>
      <c r="C8" s="2"/>
    </row>
    <row r="9" spans="2:17" x14ac:dyDescent="0.2">
      <c r="B9" s="2"/>
      <c r="C9" s="2"/>
    </row>
    <row r="10" spans="2:17" x14ac:dyDescent="0.2">
      <c r="B10" s="2"/>
      <c r="C10" s="2"/>
    </row>
    <row r="11" spans="2:17" x14ac:dyDescent="0.2">
      <c r="B11" s="3"/>
      <c r="C11" s="3"/>
    </row>
    <row r="12" spans="2:17" x14ac:dyDescent="0.2">
      <c r="B12" s="3"/>
      <c r="C12" s="3"/>
    </row>
    <row r="14" spans="2:17" ht="29" customHeight="1" x14ac:dyDescent="0.35">
      <c r="B14" s="4" t="s">
        <v>1</v>
      </c>
      <c r="C14" s="4"/>
      <c r="D14" s="4"/>
      <c r="E14" s="4"/>
      <c r="F14" s="4"/>
      <c r="G14" s="4"/>
      <c r="H14" s="4"/>
      <c r="I14" s="4"/>
      <c r="K14" s="5"/>
      <c r="L14" s="6" t="s">
        <v>25</v>
      </c>
      <c r="M14" s="7" t="s">
        <v>3</v>
      </c>
      <c r="N14" s="8" t="s">
        <v>2</v>
      </c>
      <c r="O14" s="8" t="s">
        <v>22</v>
      </c>
      <c r="P14" s="8" t="s">
        <v>23</v>
      </c>
    </row>
    <row r="15" spans="2:17" ht="19" x14ac:dyDescent="0.25">
      <c r="B15" s="9" t="s">
        <v>0</v>
      </c>
      <c r="C15" s="9"/>
      <c r="D15" s="9"/>
      <c r="E15" s="9"/>
      <c r="F15" s="9"/>
      <c r="G15" s="9"/>
      <c r="H15" s="9"/>
      <c r="I15" s="9"/>
      <c r="K15" s="5"/>
      <c r="L15" s="10"/>
      <c r="M15" s="11" t="s">
        <v>19</v>
      </c>
      <c r="N15" s="12" t="b" cm="1">
        <f t="array" aca="1" ref="N15" ca="1">UserInterfaceOnlyForced()</f>
        <v>0</v>
      </c>
      <c r="O15" s="12"/>
      <c r="P15" s="12"/>
      <c r="Q15" s="13" t="s">
        <v>20</v>
      </c>
    </row>
    <row r="16" spans="2:17" ht="16" customHeight="1" x14ac:dyDescent="0.2">
      <c r="B16" s="14"/>
      <c r="C16" s="14"/>
      <c r="D16" s="14"/>
      <c r="E16" s="14"/>
      <c r="F16" s="14"/>
      <c r="G16" s="14"/>
      <c r="H16" s="14"/>
      <c r="I16" s="14"/>
      <c r="L16" s="15">
        <v>4</v>
      </c>
      <c r="M16" s="16" t="s">
        <v>4</v>
      </c>
      <c r="N16" s="17" t="b">
        <v>1</v>
      </c>
      <c r="O16" s="17" t="b">
        <v>1</v>
      </c>
      <c r="P16" s="17" t="b">
        <v>1</v>
      </c>
      <c r="Q16" s="18" t="s">
        <v>21</v>
      </c>
    </row>
    <row r="17" spans="2:19" x14ac:dyDescent="0.2">
      <c r="B17" s="14"/>
      <c r="C17" s="14"/>
      <c r="D17" s="14"/>
      <c r="E17" s="14"/>
      <c r="F17" s="14"/>
      <c r="G17" s="14"/>
      <c r="H17" s="14"/>
      <c r="I17" s="14"/>
      <c r="L17" s="19">
        <v>1</v>
      </c>
      <c r="M17" s="20" t="s">
        <v>5</v>
      </c>
      <c r="N17" s="17" t="b">
        <v>1</v>
      </c>
      <c r="O17" s="17" t="b">
        <v>1</v>
      </c>
      <c r="P17" s="17" t="b">
        <v>1</v>
      </c>
      <c r="Q17" s="21"/>
    </row>
    <row r="18" spans="2:19" x14ac:dyDescent="0.2">
      <c r="B18" s="14"/>
      <c r="C18" s="14"/>
      <c r="D18" s="14"/>
      <c r="E18" s="14"/>
      <c r="F18" s="14"/>
      <c r="G18" s="14"/>
      <c r="H18" s="14"/>
      <c r="I18" s="14"/>
      <c r="L18" s="19">
        <v>8</v>
      </c>
      <c r="M18" s="20" t="s">
        <v>6</v>
      </c>
      <c r="N18" s="17" t="b">
        <v>1</v>
      </c>
      <c r="O18" s="17" t="b">
        <v>1</v>
      </c>
      <c r="P18" s="17" t="b">
        <v>1</v>
      </c>
      <c r="Q18" s="21"/>
    </row>
    <row r="19" spans="2:19" x14ac:dyDescent="0.2">
      <c r="B19" s="14"/>
      <c r="C19" s="14"/>
      <c r="D19" s="14"/>
      <c r="E19" s="14"/>
      <c r="F19" s="14"/>
      <c r="G19" s="14"/>
      <c r="H19" s="14"/>
      <c r="I19" s="14"/>
      <c r="L19" s="19">
        <v>16</v>
      </c>
      <c r="M19" s="22" t="s">
        <v>7</v>
      </c>
      <c r="N19" s="23" t="b">
        <v>1</v>
      </c>
      <c r="O19" s="23" t="b">
        <v>1</v>
      </c>
      <c r="P19" s="23" t="b">
        <v>1</v>
      </c>
      <c r="Q19" s="21"/>
      <c r="S19" s="13"/>
    </row>
    <row r="20" spans="2:19" x14ac:dyDescent="0.2">
      <c r="L20" s="19">
        <v>32</v>
      </c>
      <c r="M20" s="20" t="s">
        <v>8</v>
      </c>
      <c r="N20" s="17" t="b">
        <v>1</v>
      </c>
      <c r="O20" s="17" t="b">
        <v>1</v>
      </c>
      <c r="P20" s="17" t="b">
        <v>1</v>
      </c>
      <c r="Q20" s="21"/>
    </row>
    <row r="21" spans="2:19" x14ac:dyDescent="0.2">
      <c r="L21" s="19">
        <v>64</v>
      </c>
      <c r="M21" s="20" t="s">
        <v>9</v>
      </c>
      <c r="N21" s="17" t="b">
        <v>1</v>
      </c>
      <c r="O21" s="17" t="b">
        <v>1</v>
      </c>
      <c r="P21" s="17" t="b">
        <v>1</v>
      </c>
      <c r="Q21" s="21"/>
    </row>
    <row r="22" spans="2:19" x14ac:dyDescent="0.2">
      <c r="L22" s="19">
        <v>128</v>
      </c>
      <c r="M22" s="20" t="s">
        <v>10</v>
      </c>
      <c r="N22" s="17" t="b">
        <v>1</v>
      </c>
      <c r="O22" s="17" t="b">
        <v>1</v>
      </c>
      <c r="P22" s="17" t="b">
        <v>1</v>
      </c>
      <c r="Q22" s="21"/>
    </row>
    <row r="23" spans="2:19" x14ac:dyDescent="0.2">
      <c r="L23" s="19">
        <v>256</v>
      </c>
      <c r="M23" s="20" t="s">
        <v>11</v>
      </c>
      <c r="N23" s="17" t="b">
        <v>0</v>
      </c>
      <c r="O23" s="17" t="b">
        <v>0</v>
      </c>
      <c r="P23" s="17" t="b">
        <v>0</v>
      </c>
      <c r="Q23" s="21"/>
    </row>
    <row r="24" spans="2:19" x14ac:dyDescent="0.2">
      <c r="L24" s="19">
        <v>512</v>
      </c>
      <c r="M24" s="20" t="s">
        <v>12</v>
      </c>
      <c r="N24" s="17" t="b">
        <v>0</v>
      </c>
      <c r="O24" s="17" t="b">
        <v>0</v>
      </c>
      <c r="P24" s="17" t="b">
        <v>0</v>
      </c>
      <c r="Q24" s="21"/>
    </row>
    <row r="25" spans="2:19" x14ac:dyDescent="0.2">
      <c r="L25" s="19">
        <v>1024</v>
      </c>
      <c r="M25" s="20" t="s">
        <v>13</v>
      </c>
      <c r="N25" s="17" t="b">
        <v>0</v>
      </c>
      <c r="O25" s="17" t="b">
        <v>0</v>
      </c>
      <c r="P25" s="17" t="b">
        <v>0</v>
      </c>
      <c r="Q25" s="21"/>
    </row>
    <row r="26" spans="2:19" x14ac:dyDescent="0.2">
      <c r="L26" s="19">
        <v>2048</v>
      </c>
      <c r="M26" s="20" t="s">
        <v>14</v>
      </c>
      <c r="N26" s="17" t="b">
        <v>0</v>
      </c>
      <c r="O26" s="17" t="b">
        <v>0</v>
      </c>
      <c r="P26" s="17" t="b">
        <v>0</v>
      </c>
      <c r="Q26" s="21"/>
    </row>
    <row r="27" spans="2:19" x14ac:dyDescent="0.2">
      <c r="L27" s="19">
        <v>4096</v>
      </c>
      <c r="M27" s="20" t="s">
        <v>15</v>
      </c>
      <c r="N27" s="17" t="b">
        <v>0</v>
      </c>
      <c r="O27" s="17" t="b">
        <v>0</v>
      </c>
      <c r="P27" s="17" t="b">
        <v>0</v>
      </c>
      <c r="Q27" s="21"/>
    </row>
    <row r="28" spans="2:19" x14ac:dyDescent="0.2">
      <c r="L28" s="19">
        <v>8192</v>
      </c>
      <c r="M28" s="20" t="s">
        <v>16</v>
      </c>
      <c r="N28" s="17" t="b">
        <v>1</v>
      </c>
      <c r="O28" s="17" t="b">
        <v>1</v>
      </c>
      <c r="P28" s="17" t="b">
        <v>1</v>
      </c>
      <c r="Q28" s="21"/>
    </row>
    <row r="29" spans="2:19" x14ac:dyDescent="0.2">
      <c r="L29" s="19">
        <v>16384</v>
      </c>
      <c r="M29" s="20" t="s">
        <v>17</v>
      </c>
      <c r="N29" s="17" t="b">
        <v>1</v>
      </c>
      <c r="O29" s="17" t="b">
        <v>1</v>
      </c>
      <c r="P29" s="17" t="b">
        <v>1</v>
      </c>
      <c r="Q29" s="21"/>
    </row>
    <row r="30" spans="2:19" x14ac:dyDescent="0.2">
      <c r="L30" s="24">
        <v>32768</v>
      </c>
      <c r="M30" s="25" t="s">
        <v>18</v>
      </c>
      <c r="N30" s="17" t="b">
        <v>0</v>
      </c>
      <c r="O30" s="17" t="b">
        <v>0</v>
      </c>
      <c r="P30" s="17" t="b">
        <v>0</v>
      </c>
      <c r="Q30" s="26"/>
    </row>
    <row r="31" spans="2:19" ht="19" x14ac:dyDescent="0.2">
      <c r="L31" s="27" t="str" cm="1">
        <f t="array" aca="1" ref="L31" ca="1">"Current Enum Value (Default: " &amp; DefaultProtectSheetOptions() &amp; ")"</f>
        <v>Current Enum Value (Default: 24829)</v>
      </c>
      <c r="M31" s="28"/>
      <c r="N31" s="29" cm="1">
        <f t="array" ref="N31">SUMPRODUCT($L$16:$L$30,_xlfn.MAKEARRAY(15,1,_xlfn.LAMBDA(_xlpm.r,_xlpm.c,IF(INDEX(N16:N30,_xlpm.r)=TRUE,1,0))))</f>
        <v>24829</v>
      </c>
      <c r="O31" s="29" cm="1">
        <f t="array" ref="O31">SUMPRODUCT($L$16:$L$30,_xlfn.MAKEARRAY(15,1,_xlfn.LAMBDA(_xlpm.r,_xlpm.c,IF(INDEX(O16:O30,_xlpm.r)=TRUE,1,0))))</f>
        <v>24829</v>
      </c>
      <c r="P31" s="29" cm="1">
        <f t="array" ref="P31">SUMPRODUCT($L$16:$L$30,_xlfn.MAKEARRAY(15,1,_xlfn.LAMBDA(_xlpm.r,_xlpm.c,IF(INDEX(P16:P30,_xlpm.r)=TRUE,1,0))))</f>
        <v>24829</v>
      </c>
    </row>
    <row r="41" spans="12:17" ht="16" customHeight="1" x14ac:dyDescent="0.2">
      <c r="L41" s="30" t="s">
        <v>24</v>
      </c>
      <c r="M41" s="30"/>
      <c r="N41" s="30"/>
      <c r="O41" s="30"/>
      <c r="P41" s="30"/>
      <c r="Q41" s="30"/>
    </row>
    <row r="42" spans="12:17" x14ac:dyDescent="0.2">
      <c r="L42" s="30"/>
      <c r="M42" s="30"/>
      <c r="N42" s="30"/>
      <c r="O42" s="30"/>
      <c r="P42" s="30"/>
      <c r="Q42" s="30"/>
    </row>
    <row r="43" spans="12:17" x14ac:dyDescent="0.2">
      <c r="L43" s="30"/>
      <c r="M43" s="30"/>
      <c r="N43" s="30"/>
      <c r="O43" s="30"/>
      <c r="P43" s="30"/>
      <c r="Q43" s="30"/>
    </row>
    <row r="44" spans="12:17" ht="17" thickBot="1" x14ac:dyDescent="0.25">
      <c r="M44" s="31"/>
      <c r="N44" s="31"/>
      <c r="O44" s="31"/>
      <c r="P44" s="31"/>
      <c r="Q44" s="31"/>
    </row>
    <row r="45" spans="12:17" ht="24" x14ac:dyDescent="0.3">
      <c r="N45" s="32" t="s">
        <v>29</v>
      </c>
      <c r="O45" s="33"/>
      <c r="P45" s="34"/>
    </row>
    <row r="46" spans="12:17" ht="34" x14ac:dyDescent="0.2">
      <c r="M46" s="35"/>
      <c r="N46" s="36" t="s">
        <v>26</v>
      </c>
      <c r="O46" s="37" t="s">
        <v>27</v>
      </c>
      <c r="P46" s="38" t="s">
        <v>28</v>
      </c>
    </row>
    <row r="47" spans="12:17" ht="17" x14ac:dyDescent="0.2">
      <c r="M47" s="39" t="s">
        <v>4</v>
      </c>
      <c r="N47" s="40" t="s">
        <v>32</v>
      </c>
      <c r="O47" s="41" t="s">
        <v>33</v>
      </c>
      <c r="P47" s="42"/>
      <c r="Q47" s="43"/>
    </row>
    <row r="48" spans="12:17" ht="17" x14ac:dyDescent="0.2">
      <c r="M48" s="39" t="s">
        <v>5</v>
      </c>
      <c r="N48" s="40" t="s">
        <v>32</v>
      </c>
      <c r="O48" s="41" t="s">
        <v>33</v>
      </c>
      <c r="P48" s="42"/>
    </row>
    <row r="49" spans="13:17" ht="17" x14ac:dyDescent="0.2">
      <c r="M49" s="39" t="s">
        <v>6</v>
      </c>
      <c r="N49" s="40" t="s">
        <v>32</v>
      </c>
      <c r="O49" s="41" t="s">
        <v>33</v>
      </c>
      <c r="P49" s="42"/>
    </row>
    <row r="50" spans="13:17" ht="17" x14ac:dyDescent="0.2">
      <c r="M50" s="39" t="s">
        <v>8</v>
      </c>
      <c r="N50" s="40" t="s">
        <v>32</v>
      </c>
      <c r="O50" s="41" t="s">
        <v>33</v>
      </c>
      <c r="P50" s="44"/>
    </row>
    <row r="51" spans="13:17" ht="17" x14ac:dyDescent="0.2">
      <c r="M51" s="39" t="s">
        <v>9</v>
      </c>
      <c r="N51" s="40" t="s">
        <v>32</v>
      </c>
      <c r="O51" s="41" t="s">
        <v>33</v>
      </c>
      <c r="P51" s="44"/>
    </row>
    <row r="52" spans="13:17" ht="17" x14ac:dyDescent="0.2">
      <c r="M52" s="39" t="s">
        <v>10</v>
      </c>
      <c r="N52" s="40" t="s">
        <v>32</v>
      </c>
      <c r="O52" s="41" t="s">
        <v>33</v>
      </c>
      <c r="P52" s="44"/>
    </row>
    <row r="53" spans="13:17" ht="17" x14ac:dyDescent="0.2">
      <c r="M53" s="39" t="s">
        <v>11</v>
      </c>
      <c r="N53" s="40" t="s">
        <v>32</v>
      </c>
      <c r="O53" s="41" t="s">
        <v>33</v>
      </c>
      <c r="P53" s="42"/>
    </row>
    <row r="54" spans="13:17" ht="17" x14ac:dyDescent="0.2">
      <c r="M54" s="39" t="s">
        <v>12</v>
      </c>
      <c r="N54" s="40" t="s">
        <v>32</v>
      </c>
      <c r="O54" s="41" t="s">
        <v>33</v>
      </c>
      <c r="P54" s="42"/>
    </row>
    <row r="55" spans="13:17" ht="17" x14ac:dyDescent="0.2">
      <c r="M55" s="39" t="s">
        <v>13</v>
      </c>
      <c r="N55" s="40" t="s">
        <v>32</v>
      </c>
      <c r="O55" s="41" t="s">
        <v>33</v>
      </c>
      <c r="P55" s="42"/>
    </row>
    <row r="56" spans="13:17" ht="17" x14ac:dyDescent="0.2">
      <c r="M56" s="39" t="s">
        <v>14</v>
      </c>
      <c r="N56" s="40" t="s">
        <v>32</v>
      </c>
      <c r="O56" s="41" t="s">
        <v>33</v>
      </c>
      <c r="P56" s="42"/>
    </row>
    <row r="57" spans="13:17" ht="17" x14ac:dyDescent="0.2">
      <c r="M57" s="39" t="s">
        <v>15</v>
      </c>
      <c r="N57" s="40" t="s">
        <v>32</v>
      </c>
      <c r="O57" s="41" t="s">
        <v>33</v>
      </c>
      <c r="P57" s="42"/>
    </row>
    <row r="58" spans="13:17" x14ac:dyDescent="0.2">
      <c r="M58" s="45" t="s">
        <v>16</v>
      </c>
      <c r="N58" s="46"/>
      <c r="O58" s="47"/>
      <c r="P58" s="48"/>
    </row>
    <row r="59" spans="13:17" x14ac:dyDescent="0.2">
      <c r="M59" s="45" t="s">
        <v>17</v>
      </c>
      <c r="N59" s="49"/>
      <c r="O59" s="50"/>
      <c r="P59" s="51"/>
    </row>
    <row r="60" spans="13:17" ht="17" thickBot="1" x14ac:dyDescent="0.25">
      <c r="M60" s="45" t="s">
        <v>18</v>
      </c>
      <c r="N60" s="52"/>
      <c r="O60" s="53"/>
      <c r="P60" s="54"/>
    </row>
    <row r="61" spans="13:17" ht="17" thickBot="1" x14ac:dyDescent="0.25"/>
    <row r="62" spans="13:17" ht="24" x14ac:dyDescent="0.3">
      <c r="N62" s="32" t="s">
        <v>30</v>
      </c>
      <c r="O62" s="33"/>
      <c r="P62" s="34"/>
    </row>
    <row r="63" spans="13:17" ht="34" x14ac:dyDescent="0.2">
      <c r="M63" s="35"/>
      <c r="N63" s="36" t="s">
        <v>26</v>
      </c>
      <c r="O63" s="37" t="s">
        <v>27</v>
      </c>
      <c r="P63" s="38" t="s">
        <v>28</v>
      </c>
    </row>
    <row r="64" spans="13:17" ht="17" x14ac:dyDescent="0.2">
      <c r="M64" s="39" t="s">
        <v>4</v>
      </c>
      <c r="N64" s="40" t="s">
        <v>32</v>
      </c>
      <c r="O64" s="41" t="s">
        <v>33</v>
      </c>
      <c r="P64" s="42"/>
      <c r="Q64" s="43"/>
    </row>
    <row r="65" spans="13:16" ht="17" x14ac:dyDescent="0.2">
      <c r="M65" s="39" t="s">
        <v>5</v>
      </c>
      <c r="N65" s="40" t="s">
        <v>32</v>
      </c>
      <c r="O65" s="41" t="s">
        <v>33</v>
      </c>
      <c r="P65" s="42"/>
    </row>
    <row r="66" spans="13:16" ht="17" x14ac:dyDescent="0.2">
      <c r="M66" s="39" t="s">
        <v>6</v>
      </c>
      <c r="N66" s="40" t="s">
        <v>32</v>
      </c>
      <c r="O66" s="41" t="s">
        <v>33</v>
      </c>
      <c r="P66" s="42"/>
    </row>
    <row r="67" spans="13:16" ht="17" x14ac:dyDescent="0.2">
      <c r="M67" s="39" t="s">
        <v>8</v>
      </c>
      <c r="N67" s="40" t="s">
        <v>32</v>
      </c>
      <c r="O67" s="41" t="s">
        <v>33</v>
      </c>
      <c r="P67" s="44"/>
    </row>
    <row r="68" spans="13:16" ht="17" x14ac:dyDescent="0.2">
      <c r="M68" s="39" t="s">
        <v>9</v>
      </c>
      <c r="N68" s="40" t="s">
        <v>32</v>
      </c>
      <c r="O68" s="41" t="s">
        <v>33</v>
      </c>
      <c r="P68" s="44"/>
    </row>
    <row r="69" spans="13:16" ht="17" x14ac:dyDescent="0.2">
      <c r="M69" s="39" t="s">
        <v>10</v>
      </c>
      <c r="N69" s="40" t="s">
        <v>32</v>
      </c>
      <c r="O69" s="41" t="s">
        <v>33</v>
      </c>
      <c r="P69" s="44"/>
    </row>
    <row r="70" spans="13:16" ht="17" x14ac:dyDescent="0.2">
      <c r="M70" s="39" t="s">
        <v>11</v>
      </c>
      <c r="N70" s="40" t="s">
        <v>32</v>
      </c>
      <c r="O70" s="41" t="s">
        <v>33</v>
      </c>
      <c r="P70" s="42"/>
    </row>
    <row r="71" spans="13:16" ht="17" x14ac:dyDescent="0.2">
      <c r="M71" s="39" t="s">
        <v>12</v>
      </c>
      <c r="N71" s="40" t="s">
        <v>32</v>
      </c>
      <c r="O71" s="41" t="s">
        <v>33</v>
      </c>
      <c r="P71" s="42"/>
    </row>
    <row r="72" spans="13:16" ht="17" x14ac:dyDescent="0.2">
      <c r="M72" s="39" t="s">
        <v>13</v>
      </c>
      <c r="N72" s="40" t="s">
        <v>32</v>
      </c>
      <c r="O72" s="41" t="s">
        <v>33</v>
      </c>
      <c r="P72" s="42"/>
    </row>
    <row r="73" spans="13:16" ht="17" x14ac:dyDescent="0.2">
      <c r="M73" s="39" t="s">
        <v>14</v>
      </c>
      <c r="N73" s="40" t="s">
        <v>32</v>
      </c>
      <c r="O73" s="41" t="s">
        <v>33</v>
      </c>
      <c r="P73" s="42"/>
    </row>
    <row r="74" spans="13:16" ht="17" x14ac:dyDescent="0.2">
      <c r="M74" s="39" t="s">
        <v>15</v>
      </c>
      <c r="N74" s="40" t="s">
        <v>32</v>
      </c>
      <c r="O74" s="41" t="s">
        <v>33</v>
      </c>
      <c r="P74" s="42"/>
    </row>
    <row r="75" spans="13:16" x14ac:dyDescent="0.2">
      <c r="M75" s="45" t="s">
        <v>16</v>
      </c>
      <c r="N75" s="55"/>
      <c r="O75" s="56"/>
      <c r="P75" s="48"/>
    </row>
    <row r="76" spans="13:16" x14ac:dyDescent="0.2">
      <c r="M76" s="45" t="s">
        <v>17</v>
      </c>
      <c r="N76" s="49"/>
      <c r="O76" s="50"/>
      <c r="P76" s="51"/>
    </row>
    <row r="77" spans="13:16" ht="17" thickBot="1" x14ac:dyDescent="0.25">
      <c r="M77" s="45" t="s">
        <v>18</v>
      </c>
      <c r="N77" s="52"/>
      <c r="O77" s="53"/>
      <c r="P77" s="54"/>
    </row>
    <row r="78" spans="13:16" ht="17" thickBot="1" x14ac:dyDescent="0.25"/>
    <row r="79" spans="13:16" ht="24" x14ac:dyDescent="0.3">
      <c r="N79" s="32" t="s">
        <v>31</v>
      </c>
      <c r="O79" s="33"/>
      <c r="P79" s="34"/>
    </row>
    <row r="80" spans="13:16" ht="34" x14ac:dyDescent="0.2">
      <c r="M80" s="35"/>
      <c r="N80" s="36" t="s">
        <v>26</v>
      </c>
      <c r="O80" s="37" t="s">
        <v>27</v>
      </c>
      <c r="P80" s="38" t="s">
        <v>28</v>
      </c>
    </row>
    <row r="81" spans="13:17" ht="17" x14ac:dyDescent="0.2">
      <c r="M81" s="39" t="s">
        <v>4</v>
      </c>
      <c r="N81" s="40" t="s">
        <v>32</v>
      </c>
      <c r="O81" s="41" t="s">
        <v>33</v>
      </c>
      <c r="P81" s="42"/>
      <c r="Q81" s="43"/>
    </row>
    <row r="82" spans="13:17" ht="17" x14ac:dyDescent="0.2">
      <c r="M82" s="39" t="s">
        <v>5</v>
      </c>
      <c r="N82" s="40" t="s">
        <v>32</v>
      </c>
      <c r="O82" s="41" t="s">
        <v>33</v>
      </c>
      <c r="P82" s="42"/>
    </row>
    <row r="83" spans="13:17" ht="17" x14ac:dyDescent="0.2">
      <c r="M83" s="39" t="s">
        <v>6</v>
      </c>
      <c r="N83" s="40" t="s">
        <v>32</v>
      </c>
      <c r="O83" s="41" t="s">
        <v>33</v>
      </c>
      <c r="P83" s="42"/>
    </row>
    <row r="84" spans="13:17" ht="17" x14ac:dyDescent="0.2">
      <c r="M84" s="39" t="s">
        <v>8</v>
      </c>
      <c r="N84" s="40" t="s">
        <v>32</v>
      </c>
      <c r="O84" s="41" t="s">
        <v>33</v>
      </c>
      <c r="P84" s="44"/>
    </row>
    <row r="85" spans="13:17" ht="17" x14ac:dyDescent="0.2">
      <c r="M85" s="39" t="s">
        <v>9</v>
      </c>
      <c r="N85" s="40" t="s">
        <v>32</v>
      </c>
      <c r="O85" s="41" t="s">
        <v>33</v>
      </c>
      <c r="P85" s="44"/>
    </row>
    <row r="86" spans="13:17" ht="17" x14ac:dyDescent="0.2">
      <c r="M86" s="39" t="s">
        <v>10</v>
      </c>
      <c r="N86" s="40" t="s">
        <v>32</v>
      </c>
      <c r="O86" s="41" t="s">
        <v>33</v>
      </c>
      <c r="P86" s="44"/>
    </row>
    <row r="87" spans="13:17" ht="17" x14ac:dyDescent="0.2">
      <c r="M87" s="39" t="s">
        <v>11</v>
      </c>
      <c r="N87" s="40" t="s">
        <v>33</v>
      </c>
      <c r="O87" s="41" t="s">
        <v>33</v>
      </c>
      <c r="P87" s="42"/>
    </row>
    <row r="88" spans="13:17" ht="17" x14ac:dyDescent="0.2">
      <c r="M88" s="39" t="s">
        <v>12</v>
      </c>
      <c r="N88" s="40" t="s">
        <v>33</v>
      </c>
      <c r="O88" s="41" t="s">
        <v>33</v>
      </c>
      <c r="P88" s="42"/>
    </row>
    <row r="89" spans="13:17" ht="17" x14ac:dyDescent="0.2">
      <c r="M89" s="39" t="s">
        <v>13</v>
      </c>
      <c r="N89" s="40" t="s">
        <v>33</v>
      </c>
      <c r="O89" s="41" t="s">
        <v>33</v>
      </c>
      <c r="P89" s="42"/>
    </row>
    <row r="90" spans="13:17" ht="17" x14ac:dyDescent="0.2">
      <c r="M90" s="39" t="s">
        <v>14</v>
      </c>
      <c r="N90" s="40" t="s">
        <v>33</v>
      </c>
      <c r="O90" s="41" t="s">
        <v>33</v>
      </c>
      <c r="P90" s="42"/>
    </row>
    <row r="91" spans="13:17" ht="17" x14ac:dyDescent="0.2">
      <c r="M91" s="39" t="s">
        <v>15</v>
      </c>
      <c r="N91" s="40" t="s">
        <v>33</v>
      </c>
      <c r="O91" s="41" t="s">
        <v>33</v>
      </c>
      <c r="P91" s="42"/>
    </row>
    <row r="92" spans="13:17" x14ac:dyDescent="0.2">
      <c r="M92" s="45" t="s">
        <v>16</v>
      </c>
      <c r="N92" s="46"/>
      <c r="O92" s="47"/>
      <c r="P92" s="48"/>
    </row>
    <row r="93" spans="13:17" x14ac:dyDescent="0.2">
      <c r="M93" s="45" t="s">
        <v>17</v>
      </c>
      <c r="N93" s="49"/>
      <c r="O93" s="50"/>
      <c r="P93" s="51"/>
    </row>
    <row r="94" spans="13:17" ht="17" thickBot="1" x14ac:dyDescent="0.25">
      <c r="M94" s="45" t="s">
        <v>18</v>
      </c>
      <c r="N94" s="52"/>
      <c r="O94" s="53"/>
      <c r="P94" s="54"/>
    </row>
  </sheetData>
  <sheetProtection algorithmName="SHA-512" hashValue="vB6BNYvH3sAErMYUm7Il2xc8+N5CfXm3qMCw96ox5WrU035Xe+/mZXWFBRjNdfwTTG65SRwQSMtVIxUw2Dn+Og==" saltValue="hBWQ0I0bnAAopu+QQveMBQ==" spinCount="100000" sheet="1" formatCells="0"/>
  <mergeCells count="12">
    <mergeCell ref="N45:P45"/>
    <mergeCell ref="N62:P62"/>
    <mergeCell ref="N79:P79"/>
    <mergeCell ref="Q16:Q30"/>
    <mergeCell ref="L14:L15"/>
    <mergeCell ref="L31:M31"/>
    <mergeCell ref="L41:Q43"/>
    <mergeCell ref="B15:I15"/>
    <mergeCell ref="N15:P15"/>
    <mergeCell ref="B8:C10"/>
    <mergeCell ref="B16:I19"/>
    <mergeCell ref="B14:I14"/>
  </mergeCell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4DFE-5005-D742-99AB-1BEED0388714}">
  <sheetPr codeName="Sheet1"/>
  <dimension ref="A1:G10"/>
  <sheetViews>
    <sheetView workbookViewId="0">
      <selection activeCell="G38" sqref="G38"/>
    </sheetView>
  </sheetViews>
  <sheetFormatPr baseColWidth="10" defaultRowHeight="16" x14ac:dyDescent="0.2"/>
  <cols>
    <col min="1" max="2" width="10.83203125" style="59"/>
    <col min="3" max="16384" width="10.83203125" style="1"/>
  </cols>
  <sheetData>
    <row r="1" spans="1:7" s="59" customFormat="1" ht="10" customHeight="1" x14ac:dyDescent="0.2">
      <c r="A1" s="57">
        <v>69355.09375</v>
      </c>
      <c r="B1" s="58">
        <v>69355.09375</v>
      </c>
      <c r="C1" s="58">
        <v>69355.1015625</v>
      </c>
      <c r="F1" s="59">
        <v>1</v>
      </c>
      <c r="G1" s="59">
        <v>2</v>
      </c>
    </row>
    <row r="2" spans="1:7" s="59" customFormat="1" ht="10" customHeight="1" x14ac:dyDescent="0.2">
      <c r="A2" s="57">
        <v>69355.1015625</v>
      </c>
      <c r="B2" s="58">
        <v>69355.1015625</v>
      </c>
      <c r="C2" s="58">
        <v>69355.1015625</v>
      </c>
      <c r="F2" s="59">
        <v>2</v>
      </c>
      <c r="G2" s="59">
        <v>4</v>
      </c>
    </row>
    <row r="3" spans="1:7" s="59" customFormat="1" ht="10" customHeight="1" x14ac:dyDescent="0.2">
      <c r="A3" s="57">
        <v>69355.1015625</v>
      </c>
      <c r="B3" s="58">
        <v>69355.1015625</v>
      </c>
      <c r="C3" s="58">
        <v>69355.1015625</v>
      </c>
      <c r="F3" s="59">
        <v>3</v>
      </c>
      <c r="G3" s="59">
        <v>6</v>
      </c>
    </row>
    <row r="4" spans="1:7" s="59" customFormat="1" ht="10" customHeight="1" x14ac:dyDescent="0.2">
      <c r="A4" s="57">
        <v>69355.1015625</v>
      </c>
      <c r="B4" s="58">
        <v>69355.1015625</v>
      </c>
      <c r="C4" s="58">
        <v>69355.109375</v>
      </c>
      <c r="F4" s="59">
        <v>4</v>
      </c>
      <c r="G4" s="59">
        <v>8</v>
      </c>
    </row>
    <row r="5" spans="1:7" s="59" customFormat="1" ht="10" customHeight="1" x14ac:dyDescent="0.2">
      <c r="A5" s="57">
        <v>69355.109375</v>
      </c>
      <c r="B5" s="60">
        <v>69355.109375</v>
      </c>
      <c r="C5" s="58">
        <v>69355.109375</v>
      </c>
      <c r="F5" s="59">
        <v>200000</v>
      </c>
      <c r="G5" s="59">
        <v>10</v>
      </c>
    </row>
    <row r="6" spans="1:7" s="59" customFormat="1" ht="10" customHeight="1" x14ac:dyDescent="0.2">
      <c r="A6" s="57">
        <v>69355.109375</v>
      </c>
      <c r="B6" s="58">
        <v>69355.109375</v>
      </c>
      <c r="C6" s="58">
        <v>69355.109375</v>
      </c>
      <c r="F6" s="59">
        <v>15</v>
      </c>
    </row>
    <row r="7" spans="1:7" s="59" customFormat="1" ht="10" customHeight="1" x14ac:dyDescent="0.2">
      <c r="A7" s="57">
        <v>69355.109375</v>
      </c>
      <c r="B7" s="58">
        <v>69355.109375</v>
      </c>
      <c r="C7" s="58">
        <v>69355.109375</v>
      </c>
      <c r="F7" s="59">
        <v>0.03</v>
      </c>
    </row>
    <row r="8" spans="1:7" s="59" customFormat="1" ht="10" customHeight="1" x14ac:dyDescent="0.2">
      <c r="A8" s="57">
        <v>69355.109375</v>
      </c>
      <c r="B8" s="58">
        <v>69355.1171875</v>
      </c>
      <c r="C8" s="58">
        <v>69355.1171875</v>
      </c>
    </row>
    <row r="9" spans="1:7" s="59" customFormat="1" ht="10" customHeight="1" x14ac:dyDescent="0.2">
      <c r="A9" s="57">
        <v>69355.1171875</v>
      </c>
      <c r="B9" s="58">
        <v>69355.1171875</v>
      </c>
      <c r="C9" s="58">
        <v>69355.1171875</v>
      </c>
    </row>
    <row r="10" spans="1:7" s="59" customFormat="1" ht="10" customHeight="1" x14ac:dyDescent="0.2">
      <c r="A10" s="57">
        <v>69355.1171875</v>
      </c>
      <c r="B10" s="58">
        <v>69355.1171875</v>
      </c>
      <c r="C10" s="58">
        <v>69355.1171875</v>
      </c>
    </row>
  </sheetData>
  <sheetProtection formatCells="0" formatColumns="0" formatRows="0" sort="0" autoFilter="0"/>
  <scenarios current="0" show="1">
    <scenario name="Sheet1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1_2" locked="1" count="3" user="Brower, Paul" comment="Created by Brower, Paul on 1/13/2024">
      <inputCells r="F5" val="200000"/>
      <inputCells r="F6" val="15"/>
      <inputCells r="F7" val="0.03"/>
    </scenario>
    <scenario name="Sheet1_1_2" locked="1" count="3" user="Brower, Paul" comment="Created by Brower, Paul on 1/13/2024">
      <inputCells r="F15" val="100000"/>
      <inputCells r="F16" val="30"/>
      <inputCells r="F17" val="0.04"/>
    </scenario>
    <scenario name="Sheet1_1_3" locked="1" count="3" user="Brower, Paul" comment="Created by Brower, Paul on 1/13/2024">
      <inputCells r="F15" val="100000"/>
      <inputCells r="F16" val="30"/>
      <inputCells r="F17" val="0.04"/>
    </scenario>
    <scenario name="Sheet1_1_4" count="3" user="Brower, Paul" comment="Created by Brower, Paul on 1/13/2024">
      <inputCells r="F15" val="100000"/>
      <inputCells r="F16" val="30"/>
      <inputCells r="F17" val="0.04"/>
    </scenario>
    <scenario name="Sheet1_1_5" locked="1" count="3" user="Brower, Paul" comment="Created by Brower, Paul on 1/13/2024">
      <inputCells r="F15" val="100000"/>
      <inputCells r="F16" val="30"/>
      <inputCells r="F17" val="0.04"/>
    </scenario>
    <scenario name="Sheet1_1_6" locked="1" count="3" user="Brower, Paul" comment="Created by Brower, Paul on 1/13/2024">
      <inputCells r="F15" val="100000"/>
      <inputCells r="F16" val="30"/>
      <inputCells r="F17" val="0.04"/>
    </scenario>
    <scenario name="Sheet1_1_7" count="3" user="Brower, Paul" comment="Created by Brower, Paul on 1/13/2024">
      <inputCells r="F15" val="100000"/>
      <inputCells r="F16" val="30"/>
      <inputCells r="F17" val="0.04"/>
    </scenario>
  </scenarios>
  <hyperlinks>
    <hyperlink ref="B5" r:id="rId1" tooltip="Reddit VBA" display="VBA Subreddit" xr:uid="{848859BB-176E-5043-848B-B6B6FD125E9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44B5-2BFA-574A-A07B-53049F4698E1}">
  <sheetPr codeName="Sheet2"/>
  <dimension ref="A1:G10"/>
  <sheetViews>
    <sheetView tabSelected="1" workbookViewId="0"/>
  </sheetViews>
  <sheetFormatPr baseColWidth="10" defaultRowHeight="16" x14ac:dyDescent="0.2"/>
  <cols>
    <col min="1" max="2" width="10.83203125" style="59"/>
    <col min="3" max="16384" width="10.83203125" style="1"/>
  </cols>
  <sheetData>
    <row r="1" spans="1:7" s="59" customFormat="1" ht="10" customHeight="1" x14ac:dyDescent="0.2">
      <c r="A1" s="57">
        <v>69355.1796875</v>
      </c>
      <c r="B1" s="58">
        <v>69355.1796875</v>
      </c>
      <c r="C1" s="58">
        <v>69355.1875</v>
      </c>
      <c r="F1" s="59">
        <v>1</v>
      </c>
      <c r="G1" s="59">
        <v>2</v>
      </c>
    </row>
    <row r="2" spans="1:7" s="59" customFormat="1" ht="10" customHeight="1" x14ac:dyDescent="0.2">
      <c r="A2" s="57">
        <v>69355.1875</v>
      </c>
      <c r="B2" s="58">
        <v>69355.1875</v>
      </c>
      <c r="C2" s="58">
        <v>69355.1875</v>
      </c>
      <c r="F2" s="59">
        <v>2</v>
      </c>
      <c r="G2" s="59">
        <v>4</v>
      </c>
    </row>
    <row r="3" spans="1:7" s="59" customFormat="1" ht="10" customHeight="1" x14ac:dyDescent="0.2">
      <c r="A3" s="57">
        <v>69355.1875</v>
      </c>
      <c r="B3" s="58">
        <v>69355.1875</v>
      </c>
      <c r="C3" s="58">
        <v>69355.1875</v>
      </c>
      <c r="F3" s="59">
        <v>3</v>
      </c>
      <c r="G3" s="59">
        <v>6</v>
      </c>
    </row>
    <row r="4" spans="1:7" s="59" customFormat="1" ht="10" customHeight="1" x14ac:dyDescent="0.2">
      <c r="A4" s="57">
        <v>69355.1875</v>
      </c>
      <c r="B4" s="58">
        <v>69355.1875</v>
      </c>
      <c r="C4" s="58">
        <v>69355.1875</v>
      </c>
      <c r="F4" s="59">
        <v>4</v>
      </c>
      <c r="G4" s="59">
        <v>8</v>
      </c>
    </row>
    <row r="5" spans="1:7" s="59" customFormat="1" ht="10" customHeight="1" x14ac:dyDescent="0.2">
      <c r="A5" s="57">
        <v>69355.1953125</v>
      </c>
      <c r="B5" s="60">
        <v>69355.1953125</v>
      </c>
      <c r="C5" s="58">
        <v>69355.1953125</v>
      </c>
      <c r="F5" s="59">
        <v>200000</v>
      </c>
      <c r="G5" s="59">
        <v>10</v>
      </c>
    </row>
    <row r="6" spans="1:7" s="59" customFormat="1" ht="10" customHeight="1" x14ac:dyDescent="0.2">
      <c r="A6" s="57">
        <v>69355.1953125</v>
      </c>
      <c r="B6" s="58">
        <v>69355.1953125</v>
      </c>
      <c r="C6" s="58">
        <v>69355.1953125</v>
      </c>
      <c r="F6" s="59">
        <v>15</v>
      </c>
    </row>
    <row r="7" spans="1:7" s="59" customFormat="1" ht="10" customHeight="1" x14ac:dyDescent="0.2">
      <c r="A7" s="57">
        <v>69355.1953125</v>
      </c>
      <c r="B7" s="58">
        <v>69355.1953125</v>
      </c>
      <c r="C7" s="58">
        <v>69355.1953125</v>
      </c>
      <c r="F7" s="59">
        <v>0.03</v>
      </c>
    </row>
    <row r="8" spans="1:7" s="59" customFormat="1" ht="10" customHeight="1" x14ac:dyDescent="0.2">
      <c r="A8" s="57">
        <v>69355.1953125</v>
      </c>
      <c r="B8" s="58">
        <v>69355.1953125</v>
      </c>
      <c r="C8" s="58">
        <v>69355.1953125</v>
      </c>
    </row>
    <row r="9" spans="1:7" s="59" customFormat="1" ht="10" customHeight="1" x14ac:dyDescent="0.2">
      <c r="A9" s="57">
        <v>69355.203125</v>
      </c>
      <c r="B9" s="58">
        <v>69355.203125</v>
      </c>
      <c r="C9" s="58">
        <v>69355.203125</v>
      </c>
    </row>
    <row r="10" spans="1:7" s="59" customFormat="1" ht="10" customHeight="1" x14ac:dyDescent="0.2">
      <c r="A10" s="57">
        <v>69355.203125</v>
      </c>
      <c r="B10" s="58">
        <v>69355.203125</v>
      </c>
      <c r="C10" s="58">
        <v>69355.203125</v>
      </c>
    </row>
  </sheetData>
  <sheetProtection formatCells="0" formatColumns="0" formatRows="0" sort="0" autoFilter="0"/>
  <scenarios current="0" show="1">
    <scenario name="Sheet2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2_2" locked="1" count="3" user="Brower, Paul" comment="Created by Brower, Paul on 1/13/2024">
      <inputCells r="F5" val="200000"/>
      <inputCells r="F6" val="15"/>
      <inputCells r="F7" val="0.03"/>
    </scenario>
    <scenario name="Sheet2_1_2" locked="1" count="3" user="Brower, Paul" comment="Created by Brower, Paul on 1/13/2024">
      <inputCells r="F15" val="100000"/>
      <inputCells r="F16" val="30"/>
      <inputCells r="F17" val="0.04"/>
    </scenario>
    <scenario name="Sheet2_1_3" locked="1" count="3" user="Brower, Paul" comment="Created by Brower, Paul on 1/13/2024">
      <inputCells r="F15" val="100000"/>
      <inputCells r="F16" val="30"/>
      <inputCells r="F17" val="0.04"/>
    </scenario>
    <scenario name="Sheet2_1_4" locked="1" count="3" user="Brower, Paul" comment="Created by Brower, Paul on 1/13/2024">
      <inputCells r="F15" val="100000"/>
      <inputCells r="F16" val="30"/>
      <inputCells r="F17" val="0.04"/>
    </scenario>
    <scenario name="Sheet2_1_5" locked="1" count="3" user="Brower, Paul" comment="Created by Brower, Paul on 1/13/2024">
      <inputCells r="F15" val="100000"/>
      <inputCells r="F16" val="30"/>
      <inputCells r="F17" val="0.04"/>
    </scenario>
    <scenario name="Sheet2_1_6" locked="1" count="3" user="Brower, Paul" comment="Created by Brower, Paul on 1/13/2024">
      <inputCells r="F15" val="100000"/>
      <inputCells r="F16" val="30"/>
      <inputCells r="F17" val="0.04"/>
    </scenario>
    <scenario name="Sheet2_1_7" count="3" user="Brower, Paul" comment="Created by Brower, Paul on 1/13/2024">
      <inputCells r="F15" val="100000"/>
      <inputCells r="F16" val="30"/>
      <inputCells r="F17" val="0.04"/>
    </scenario>
  </scenarios>
  <sortState xmlns:xlrd2="http://schemas.microsoft.com/office/spreadsheetml/2017/richdata2" ref="F1:G5">
    <sortCondition ref="G1"/>
  </sortState>
  <hyperlinks>
    <hyperlink ref="B5" r:id="rId1" tooltip="Reddit VBA" display="VBA Subreddit" xr:uid="{F39E1DFD-E60E-FB43-801E-E4F31AEC62A2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F3A3-2D63-0640-8F58-29B7449D537C}">
  <sheetPr codeName="Sheet3"/>
  <dimension ref="A1:G10"/>
  <sheetViews>
    <sheetView workbookViewId="0"/>
  </sheetViews>
  <sheetFormatPr baseColWidth="10" defaultRowHeight="16" x14ac:dyDescent="0.2"/>
  <cols>
    <col min="1" max="2" width="10.83203125" style="59"/>
    <col min="3" max="16384" width="10.83203125" style="1"/>
  </cols>
  <sheetData>
    <row r="1" spans="1:7" s="59" customFormat="1" ht="10" customHeight="1" x14ac:dyDescent="0.2">
      <c r="A1" s="57">
        <v>69355.265625</v>
      </c>
      <c r="B1" s="58">
        <v>69355.265625</v>
      </c>
      <c r="C1" s="58">
        <v>69355.265625</v>
      </c>
      <c r="F1" s="59">
        <v>1</v>
      </c>
      <c r="G1" s="59">
        <v>2</v>
      </c>
    </row>
    <row r="2" spans="1:7" s="59" customFormat="1" ht="10" customHeight="1" x14ac:dyDescent="0.2">
      <c r="A2" s="57">
        <v>69355.265625</v>
      </c>
      <c r="B2" s="58">
        <v>69355.265625</v>
      </c>
      <c r="C2" s="58">
        <v>69355.265625</v>
      </c>
      <c r="F2" s="59">
        <v>2</v>
      </c>
      <c r="G2" s="59">
        <v>4</v>
      </c>
    </row>
    <row r="3" spans="1:7" s="59" customFormat="1" ht="10" customHeight="1" x14ac:dyDescent="0.2">
      <c r="A3" s="57">
        <v>69355.2734375</v>
      </c>
      <c r="B3" s="58">
        <v>69355.2734375</v>
      </c>
      <c r="C3" s="58">
        <v>69355.2734375</v>
      </c>
      <c r="F3" s="59">
        <v>3</v>
      </c>
      <c r="G3" s="59">
        <v>6</v>
      </c>
    </row>
    <row r="4" spans="1:7" s="59" customFormat="1" ht="10" customHeight="1" x14ac:dyDescent="0.2">
      <c r="A4" s="57">
        <v>69355.2734375</v>
      </c>
      <c r="B4" s="58">
        <v>69355.2734375</v>
      </c>
      <c r="C4" s="58">
        <v>69355.2734375</v>
      </c>
      <c r="F4" s="59">
        <v>4</v>
      </c>
      <c r="G4" s="59">
        <v>8</v>
      </c>
    </row>
    <row r="5" spans="1:7" s="59" customFormat="1" ht="10" customHeight="1" x14ac:dyDescent="0.2">
      <c r="A5" s="57">
        <v>69355.2734375</v>
      </c>
      <c r="B5" s="60">
        <v>69355.2734375</v>
      </c>
      <c r="C5" s="58">
        <v>69355.2734375</v>
      </c>
      <c r="F5" s="59">
        <v>200000</v>
      </c>
      <c r="G5" s="59">
        <v>10</v>
      </c>
    </row>
    <row r="6" spans="1:7" s="59" customFormat="1" ht="10" customHeight="1" x14ac:dyDescent="0.2">
      <c r="A6" s="57">
        <v>69355.2734375</v>
      </c>
      <c r="B6" s="58">
        <v>69355.28125</v>
      </c>
      <c r="C6" s="58">
        <v>69355.28125</v>
      </c>
      <c r="F6" s="59">
        <v>15</v>
      </c>
    </row>
    <row r="7" spans="1:7" s="59" customFormat="1" ht="10" customHeight="1" x14ac:dyDescent="0.2">
      <c r="A7" s="57">
        <v>69355.28125</v>
      </c>
      <c r="B7" s="58">
        <v>69355.28125</v>
      </c>
      <c r="C7" s="58">
        <v>69355.28125</v>
      </c>
      <c r="F7" s="59">
        <v>0.03</v>
      </c>
    </row>
    <row r="8" spans="1:7" s="59" customFormat="1" ht="10" customHeight="1" x14ac:dyDescent="0.2">
      <c r="A8" s="57">
        <v>69355.28125</v>
      </c>
      <c r="B8" s="58">
        <v>69355.28125</v>
      </c>
      <c r="C8" s="58">
        <v>69355.28125</v>
      </c>
    </row>
    <row r="9" spans="1:7" s="59" customFormat="1" ht="10" customHeight="1" x14ac:dyDescent="0.2">
      <c r="A9" s="57">
        <v>69355.28125</v>
      </c>
      <c r="B9" s="58">
        <v>69355.28125</v>
      </c>
      <c r="C9" s="58">
        <v>69355.2890625</v>
      </c>
    </row>
    <row r="10" spans="1:7" s="59" customFormat="1" ht="10" customHeight="1" x14ac:dyDescent="0.2">
      <c r="A10" s="57">
        <v>69355.2890625</v>
      </c>
      <c r="B10" s="58">
        <v>69355.2890625</v>
      </c>
      <c r="C10" s="58">
        <v>69355.2890625</v>
      </c>
    </row>
  </sheetData>
  <sheetProtection formatCells="0" formatColumns="0" formatRows="0" sort="0" autoFilter="0"/>
  <scenarios current="0" show="1">
    <scenario name="Sheet3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3_2" locked="1" count="3" user="Brower, Paul" comment="Created by Brower, Paul on 1/13/2024">
      <inputCells r="F5" val="200000"/>
      <inputCells r="F6" val="15"/>
      <inputCells r="F7" val="0.03"/>
    </scenario>
    <scenario name="Sheet3_1_2" locked="1" count="3" user="Brower, Paul" comment="Created by Brower, Paul on 1/13/2024">
      <inputCells r="F15" val="100000"/>
      <inputCells r="F16" val="30"/>
      <inputCells r="F17" val="0.04"/>
    </scenario>
    <scenario name="Sheet3_1_3" locked="1" count="3" user="Brower, Paul" comment="Created by Brower, Paul on 1/13/2024">
      <inputCells r="F15" val="100000"/>
      <inputCells r="F16" val="30"/>
      <inputCells r="F17" val="0.04"/>
    </scenario>
    <scenario name="Sheet3_1_4" locked="1" count="3" user="Brower, Paul" comment="Created by Brower, Paul on 1/13/2024">
      <inputCells r="F15" val="100000"/>
      <inputCells r="F16" val="30"/>
      <inputCells r="F17" val="0.04"/>
    </scenario>
    <scenario name="Sheet3_1_5" locked="1" count="3" user="Brower, Paul" comment="Created by Brower, Paul on 1/13/2024">
      <inputCells r="F15" val="100000"/>
      <inputCells r="F16" val="30"/>
      <inputCells r="F17" val="0.04"/>
    </scenario>
    <scenario name="Sheet3_1_6" locked="1" count="3" user="Brower, Paul" comment="Created by Brower, Paul on 1/13/2024">
      <inputCells r="F15" val="100000"/>
      <inputCells r="F16" val="30"/>
      <inputCells r="F17" val="0.04"/>
    </scenario>
    <scenario name="Sheet3_1_7" count="3" user="Brower, Paul" comment="Created by Brower, Paul on 1/13/2024">
      <inputCells r="F15" val="100000"/>
      <inputCells r="F16" val="30"/>
      <inputCells r="F17" val="0.04"/>
    </scenario>
  </scenarios>
  <hyperlinks>
    <hyperlink ref="B5" r:id="rId1" tooltip="Reddit VBA" display="VBA Subreddit" xr:uid="{BD15CD4B-9055-7D4C-9A93-E3936D6EE90E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Demo</vt:lpstr>
      <vt:lpstr>Sheet1</vt:lpstr>
      <vt:lpstr>Sheet2</vt:lpstr>
      <vt:lpstr>Sheet3</vt:lpstr>
      <vt:lpstr>ENUM_CALC_INFO</vt:lpstr>
      <vt:lpstr>FIND_ENUM</vt:lpstr>
      <vt:lpstr>FIND_ENUM_VAL</vt:lpstr>
      <vt:lpstr>SHEET1_RESULTS</vt:lpstr>
      <vt:lpstr>SHEET2_RESULTS</vt:lpstr>
      <vt:lpstr>SHEET3_RESULTS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2022-09-12T02:07:41Z</dcterms:created>
  <dcterms:modified xsi:type="dcterms:W3CDTF">2024-01-14T01:15:55Z</dcterms:modified>
</cp:coreProperties>
</file>