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paulbrower/Projects/just-VBA/SheetProtection/"/>
    </mc:Choice>
  </mc:AlternateContent>
  <xr:revisionPtr revIDLastSave="0" documentId="13_ncr:1_{722AC030-A528-614A-8551-E9D8A3F046ED}" xr6:coauthVersionLast="47" xr6:coauthVersionMax="47" xr10:uidLastSave="{00000000-0000-0000-0000-000000000000}"/>
  <bookViews>
    <workbookView xWindow="26400" yWindow="0" windowWidth="44380" windowHeight="28440" xr2:uid="{DED2F872-F875-A84E-99F6-0D8DC2D1DB5F}"/>
  </bookViews>
  <sheets>
    <sheet name="Demo" sheetId="1" r:id="rId1"/>
    <sheet name="Sheet1" sheetId="2" r:id="rId2"/>
    <sheet name="Sheet2" sheetId="3" r:id="rId3"/>
    <sheet name="Sheet3" sheetId="4" r:id="rId4"/>
  </sheets>
  <functionGroups builtInGroupCount="19"/>
  <definedNames>
    <definedName name="_xlpm.c" hidden="1" xlm="1">#NAME?</definedName>
    <definedName name="_xlpm.r" hidden="1" xlm="1">#NAME?</definedName>
    <definedName name="ENUM_CALC_INFO">Demo!$L$31:$P$31</definedName>
    <definedName name="FIND_ENUM">Demo!$M$16:$M$30</definedName>
    <definedName name="FIND_ENUM_VAL">Demo!$L$16:$L$30</definedName>
    <definedName name="SHEET1_RESULTS">Demo!$N$47:$P$60</definedName>
    <definedName name="SHEET2_RESULTS">Demo!$N$64:$P$77</definedName>
    <definedName name="SHEET3_RESULTS">Demo!$N$81:$P$94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31" i="1" l="1" a="1"/>
  <c r="P31" i="1" s="1"/>
  <c r="O31" i="1" a="1"/>
  <c r="O31" i="1" s="1"/>
  <c r="N31" i="1" a="1"/>
  <c r="N31" i="1" s="1"/>
  <c r="N15" i="1" a="1"/>
  <c r="L31" i="1" a="1"/>
  <c r="N15" i="1" l="1"/>
  <c r="L3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<sst xmlns="http://schemas.openxmlformats.org/spreadsheetml/2006/main" count="81" uniqueCount="33">
  <si>
    <t>just-VBA: Worksheet Protection</t>
  </si>
  <si>
    <t>Sheet1</t>
  </si>
  <si>
    <t>(Options)</t>
  </si>
  <si>
    <t>protectDrawingObjects</t>
  </si>
  <si>
    <t>protectContents</t>
  </si>
  <si>
    <t>protectScenarios</t>
  </si>
  <si>
    <t>userInterfaceOnly</t>
  </si>
  <si>
    <t>allowFormattingCells</t>
  </si>
  <si>
    <t>allowFormattingColumns</t>
  </si>
  <si>
    <t>allowFormattingRows</t>
  </si>
  <si>
    <t>allowInsertingColumns</t>
  </si>
  <si>
    <t>allowInsertingRows</t>
  </si>
  <si>
    <t>allowInsertingHyperlinks</t>
  </si>
  <si>
    <t>allowDeletingColumns</t>
  </si>
  <si>
    <t>allowDeletingRows</t>
  </si>
  <si>
    <t>allowSorting</t>
  </si>
  <si>
    <t>allowFiltering</t>
  </si>
  <si>
    <t>allowUsingPivotTables</t>
  </si>
  <si>
    <t>USER INTERFACE ONLY FORCED?</t>
  </si>
  <si>
    <t xml:space="preserve"> &lt;-- (Formula)</t>
  </si>
  <si>
    <t>&lt;-- 
DOUBLE-CLICK TO TOGGLE VALUES
&lt;--</t>
  </si>
  <si>
    <t>Sheet2</t>
  </si>
  <si>
    <t>Sheet3</t>
  </si>
  <si>
    <t>WITH OPTIONS SET ABOVE, THE RESULTS BELOW SHOW WHETER ITEMS ASSOCIATED WITH PROTECTION AREAS WERE ABLE TO BE MODIFIED BY VBA WHEN WORKBOOK WAS OPENED</t>
  </si>
  <si>
    <t>Unprotected</t>
  </si>
  <si>
    <t>User Interface Only = True</t>
  </si>
  <si>
    <t xml:space="preserve">User Interface Only = False </t>
  </si>
  <si>
    <t>SHEET 1</t>
  </si>
  <si>
    <t>SHEET 2</t>
  </si>
  <si>
    <t>SHEET 3</t>
  </si>
  <si>
    <t>Sheet Protection Enum Option</t>
  </si>
  <si>
    <r>
      <t xml:space="preserve">This workbook demonstrates the impact to performing different actions in a worksheet that has been protected.
Sheet1, Sheet2, and Sheet3 automatically get set up with certain types of data so that each test can be performed on each sheet with customizable protection options.
The reset button reverts protections options for all sheets, based on the pbProtection.DefaultProtectOptions Property.
Double-click a TRUE or FALSE value to the right, and when the tests are performed, the values to the right are how each sheet will be protected during testing.
</t>
    </r>
    <r>
      <rPr>
        <b/>
        <sz val="12"/>
        <color theme="1"/>
        <rFont val="Calibri"/>
        <family val="2"/>
      </rPr>
      <t xml:space="preserve">Please Note:  The </t>
    </r>
    <r>
      <rPr>
        <b/>
        <i/>
        <sz val="12"/>
        <color theme="1"/>
        <rFont val="Calibri"/>
        <family val="2"/>
      </rPr>
      <t>UserInterfaceOnly</t>
    </r>
    <r>
      <rPr>
        <b/>
        <sz val="12"/>
        <color theme="1"/>
        <rFont val="Calibri"/>
        <family val="2"/>
      </rPr>
      <t xml:space="preserve"> option is overridden during testing, so that each test can be performed 3 times for each sheet.  The first test runs with the Worksheet completely unprotected.  The second test runs with 'userInterfaceOnly' set to TRUE, and the last test runs with 'userInterfaceOnly' set to FALSE.</t>
    </r>
  </si>
  <si>
    <r>
      <t xml:space="preserve">HOW IS THIS HELPFUL?
</t>
    </r>
    <r>
      <rPr>
        <sz val="12"/>
        <color theme="1"/>
        <rFont val="Calibri"/>
        <family val="2"/>
      </rPr>
      <t xml:space="preserve">Setting certain protections options can be confusing, and certain options require other options to have specific settings as well.
An example of this is the relationship between </t>
    </r>
    <r>
      <rPr>
        <b/>
        <sz val="12"/>
        <color theme="1"/>
        <rFont val="Calibri"/>
        <family val="2"/>
      </rPr>
      <t>allowFormattingCells, allowFormattingColumns, allowFormatttingRows.</t>
    </r>
    <r>
      <rPr>
        <sz val="12"/>
        <color theme="1"/>
        <rFont val="Calibri"/>
        <family val="2"/>
      </rPr>
      <t xml:space="preserve">
Try the following:
1. Click the </t>
    </r>
    <r>
      <rPr>
        <b/>
        <sz val="12"/>
        <color theme="1"/>
        <rFont val="Calibri"/>
        <family val="2"/>
      </rPr>
      <t>RESET</t>
    </r>
    <r>
      <rPr>
        <sz val="12"/>
        <color theme="1"/>
        <rFont val="Calibri"/>
        <family val="2"/>
      </rPr>
      <t xml:space="preserve"> button
2. Double-click the value for Sheet1 -- </t>
    </r>
    <r>
      <rPr>
        <b/>
        <sz val="12"/>
        <color theme="1"/>
        <rFont val="Calibri"/>
        <family val="2"/>
      </rPr>
      <t>allowFormattingCells</t>
    </r>
    <r>
      <rPr>
        <sz val="12"/>
        <color theme="1"/>
        <rFont val="Calibri"/>
        <family val="2"/>
      </rPr>
      <t xml:space="preserve"> so that it shows </t>
    </r>
    <r>
      <rPr>
        <b/>
        <sz val="12"/>
        <color theme="1"/>
        <rFont val="Calibri"/>
        <family val="2"/>
      </rPr>
      <t xml:space="preserve">FALSE.
</t>
    </r>
    <r>
      <rPr>
        <sz val="12"/>
        <color theme="1"/>
        <rFont val="Calibri"/>
        <family val="2"/>
      </rPr>
      <t xml:space="preserve">3. Click the button to run tests
4. Compare the results for SHEET1 and SHEET2, for allowFormattingCells, allowFormattingColumns, allowFormatttingRows
You'll notice that even though allowFormattingColumns and allowFormattingRows is explicitely set to TRUE for Sheet1, when not using the 'userInterfaceOnly' option, your VBA code will not be able to format those, because it would also require </t>
    </r>
    <r>
      <rPr>
        <b/>
        <sz val="12"/>
        <color theme="1"/>
        <rFont val="Calibri"/>
        <family val="2"/>
      </rPr>
      <t>allowFormattingCells</t>
    </r>
    <r>
      <rPr>
        <sz val="12"/>
        <color theme="1"/>
        <rFont val="Calibri"/>
        <family val="2"/>
      </rPr>
      <t xml:space="preserve"> to be enabled.
</t>
    </r>
    <r>
      <rPr>
        <b/>
        <sz val="12"/>
        <color theme="1"/>
        <rFont val="Calibri"/>
        <family val="2"/>
      </rPr>
      <t xml:space="preserve">
This is useful as you're planning out permissions for how users will interact with a Worksheet.   If you want users to be able to Format Columns, you know you need to also allow users to format cells.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</si>
</sst>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font>
    <font>
      <b/>
      <sz val="22"/>
      <color theme="4" tint="-0.249977111117893"/>
      <name val="Calibri"/>
      <family val="2"/>
      <scheme val="minor"/>
    </font>
    <font>
      <b/>
      <sz val="12"/>
      <color theme="1"/>
      <name val="Calibri"/>
      <family val="2"/>
    </font>
    <font>
      <b/>
      <sz val="12"/>
      <color rgb="FF0432FF"/>
      <name val="Calibri"/>
      <family val="2"/>
    </font>
    <font>
      <b/>
      <sz val="12"/>
      <color rgb="FFC00000"/>
      <name val="Calibri"/>
      <family val="2"/>
    </font>
    <font>
      <b/>
      <sz val="14"/>
      <color theme="1"/>
      <name val="Calibri"/>
      <family val="2"/>
    </font>
    <font>
      <b/>
      <sz val="18"/>
      <color theme="1"/>
      <name val="Calibri"/>
      <family val="2"/>
    </font>
    <font>
      <b/>
      <sz val="14"/>
      <color theme="1" tint="0.499984740745262"/>
      <name val="Calibri"/>
      <family val="2"/>
    </font>
    <font>
      <b/>
      <sz val="12"/>
      <color rgb="FF00B050"/>
      <name val="Calibri"/>
      <family val="2"/>
    </font>
    <font>
      <b/>
      <sz val="12"/>
      <color rgb="FFFF0000"/>
      <name val="Calibri"/>
      <family val="2"/>
    </font>
    <font>
      <b/>
      <i/>
      <sz val="12"/>
      <color theme="1"/>
      <name val="Calibri"/>
      <family val="2"/>
    </font>
  </fonts>
  <fills count="6">
    <fill>
      <patternFill patternType="none"/>
    </fill>
    <fill>
      <patternFill patternType="gray125"/>
    </fill>
    <fill>
      <patternFill patternType="solid">
        <fgColor theme="7" tint="0.79998168889431442"/>
        <bgColor indexed="64"/>
      </patternFill>
    </fill>
    <fill>
      <patternFill patternType="solid">
        <fgColor theme="7" tint="0.59999389629810485"/>
        <bgColor indexed="64"/>
      </patternFill>
    </fill>
    <fill>
      <patternFill patternType="solid">
        <fgColor rgb="FFFCE4D6"/>
        <bgColor indexed="64"/>
      </patternFill>
    </fill>
    <fill>
      <patternFill patternType="solid">
        <fgColor theme="2"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73">
    <xf numFmtId="0" fontId="0" fillId="0" borderId="0" xfId="0"/>
    <xf numFmtId="0" fontId="0" fillId="0" borderId="0" xfId="0" applyProtection="1"/>
    <xf numFmtId="0" fontId="0" fillId="0" borderId="0" xfId="0" applyAlignment="1" applyProtection="1">
      <alignment horizontal="center" vertical="top" wrapText="1"/>
    </xf>
    <xf numFmtId="0" fontId="0" fillId="0" borderId="0" xfId="0" applyAlignment="1" applyProtection="1">
      <alignment horizontal="center" vertical="top" wrapText="1"/>
    </xf>
    <xf numFmtId="0" fontId="1" fillId="2" borderId="0" xfId="0" quotePrefix="1" applyFont="1" applyFill="1" applyAlignment="1" applyProtection="1">
      <alignment horizontal="center"/>
    </xf>
    <xf numFmtId="0" fontId="0" fillId="0" borderId="20" xfId="0" applyBorder="1" applyAlignment="1" applyProtection="1">
      <alignment horizontal="left" vertical="center" wrapText="1" indent="1"/>
    </xf>
    <xf numFmtId="0" fontId="0" fillId="0" borderId="21" xfId="0" applyBorder="1" applyAlignment="1" applyProtection="1">
      <alignment horizontal="left" vertical="center" wrapText="1" indent="1"/>
    </xf>
    <xf numFmtId="0" fontId="0" fillId="0" borderId="22" xfId="0" applyBorder="1" applyAlignment="1" applyProtection="1">
      <alignment horizontal="left" vertical="center" wrapText="1" indent="1"/>
    </xf>
    <xf numFmtId="0" fontId="0" fillId="0" borderId="0" xfId="0" applyAlignment="1" applyProtection="1">
      <alignment vertical="center" wrapText="1"/>
    </xf>
    <xf numFmtId="0" fontId="2" fillId="0" borderId="2" xfId="0" applyFont="1" applyBorder="1" applyAlignment="1" applyProtection="1">
      <alignment horizontal="right" wrapText="1"/>
    </xf>
    <xf numFmtId="0" fontId="2" fillId="0" borderId="1" xfId="0" applyFont="1" applyBorder="1" applyAlignment="1" applyProtection="1">
      <alignment horizontal="center" vertical="center"/>
    </xf>
    <xf numFmtId="0" fontId="2" fillId="2" borderId="2" xfId="0" applyFont="1" applyFill="1" applyBorder="1" applyAlignment="1" applyProtection="1">
      <alignment horizontal="center" vertical="center"/>
    </xf>
    <xf numFmtId="0" fontId="0" fillId="0" borderId="23" xfId="0" applyBorder="1" applyAlignment="1" applyProtection="1">
      <alignment horizontal="left" vertical="center" wrapText="1" indent="1"/>
    </xf>
    <xf numFmtId="0" fontId="0" fillId="0" borderId="0" xfId="0" applyAlignment="1" applyProtection="1">
      <alignment horizontal="left" vertical="center" wrapText="1" indent="1"/>
    </xf>
    <xf numFmtId="0" fontId="0" fillId="0" borderId="24" xfId="0" applyBorder="1" applyAlignment="1" applyProtection="1">
      <alignment horizontal="left" vertical="center" wrapText="1" indent="1"/>
    </xf>
    <xf numFmtId="0" fontId="2" fillId="0" borderId="7" xfId="0" applyFont="1" applyBorder="1" applyAlignment="1" applyProtection="1">
      <alignment horizontal="right" wrapText="1"/>
    </xf>
    <xf numFmtId="0" fontId="4" fillId="0" borderId="6" xfId="0" applyFont="1" applyBorder="1" applyAlignment="1" applyProtection="1">
      <alignment horizontal="right"/>
    </xf>
    <xf numFmtId="0" fontId="4" fillId="0" borderId="1" xfId="0" applyFont="1" applyBorder="1" applyAlignment="1" applyProtection="1">
      <alignment horizontal="center"/>
    </xf>
    <xf numFmtId="0" fontId="2" fillId="0" borderId="0" xfId="0" quotePrefix="1" applyFont="1" applyProtection="1"/>
    <xf numFmtId="0" fontId="0" fillId="0" borderId="2" xfId="0" applyBorder="1" applyProtection="1"/>
    <xf numFmtId="0" fontId="3" fillId="0" borderId="2" xfId="0" applyFont="1" applyBorder="1" applyAlignment="1" applyProtection="1">
      <alignment horizontal="right" vertical="center"/>
    </xf>
    <xf numFmtId="0" fontId="0" fillId="0" borderId="1" xfId="0" applyBorder="1" applyProtection="1"/>
    <xf numFmtId="0" fontId="0" fillId="2" borderId="4" xfId="0" applyFill="1" applyBorder="1" applyAlignment="1" applyProtection="1">
      <alignment horizontal="center" vertical="center" wrapText="1"/>
    </xf>
    <xf numFmtId="0" fontId="0" fillId="0" borderId="8" xfId="0" applyBorder="1" applyProtection="1"/>
    <xf numFmtId="0" fontId="3" fillId="0" borderId="8" xfId="0" applyFont="1" applyBorder="1" applyAlignment="1" applyProtection="1">
      <alignment horizontal="right" vertical="center"/>
    </xf>
    <xf numFmtId="0" fontId="0" fillId="2" borderId="3" xfId="0" applyFill="1" applyBorder="1" applyAlignment="1" applyProtection="1">
      <alignment horizontal="center" vertical="center" wrapText="1"/>
    </xf>
    <xf numFmtId="0" fontId="4" fillId="0" borderId="8" xfId="0" applyFont="1" applyBorder="1" applyAlignment="1" applyProtection="1">
      <alignment horizontal="right" vertical="center"/>
    </xf>
    <xf numFmtId="0" fontId="4" fillId="0" borderId="1" xfId="0" applyFont="1" applyBorder="1" applyProtection="1"/>
    <xf numFmtId="0" fontId="0" fillId="0" borderId="7" xfId="0" applyBorder="1" applyProtection="1"/>
    <xf numFmtId="0" fontId="3" fillId="0" borderId="7" xfId="0" applyFont="1" applyBorder="1" applyAlignment="1" applyProtection="1">
      <alignment horizontal="right" vertical="center"/>
    </xf>
    <xf numFmtId="0" fontId="0" fillId="2" borderId="5" xfId="0" applyFill="1" applyBorder="1" applyAlignment="1" applyProtection="1">
      <alignment horizontal="center" vertical="center" wrapText="1"/>
    </xf>
    <xf numFmtId="0" fontId="0" fillId="0" borderId="25" xfId="0" applyBorder="1" applyAlignment="1" applyProtection="1">
      <alignment horizontal="left" vertical="center" wrapText="1" indent="1"/>
    </xf>
    <xf numFmtId="0" fontId="0" fillId="0" borderId="26" xfId="0" applyBorder="1" applyAlignment="1" applyProtection="1">
      <alignment horizontal="left" vertical="center" wrapText="1" indent="1"/>
    </xf>
    <xf numFmtId="0" fontId="0" fillId="0" borderId="27" xfId="0" applyBorder="1" applyAlignment="1" applyProtection="1">
      <alignment horizontal="left" vertical="center" wrapText="1" indent="1"/>
    </xf>
    <xf numFmtId="0" fontId="7" fillId="4" borderId="9" xfId="0" applyFont="1" applyFill="1" applyBorder="1" applyAlignment="1" applyProtection="1">
      <alignment horizontal="right" vertical="center"/>
    </xf>
    <xf numFmtId="0" fontId="7" fillId="4" borderId="6" xfId="0" applyFont="1" applyFill="1" applyBorder="1" applyAlignment="1" applyProtection="1">
      <alignment horizontal="right" vertical="center"/>
    </xf>
    <xf numFmtId="0" fontId="5" fillId="4" borderId="1" xfId="0" applyFont="1" applyFill="1" applyBorder="1" applyAlignment="1" applyProtection="1">
      <alignment horizontal="center" vertical="center"/>
    </xf>
    <xf numFmtId="0" fontId="2" fillId="0" borderId="20" xfId="0" applyFont="1" applyBorder="1" applyAlignment="1" applyProtection="1">
      <alignment horizontal="left" vertical="center" wrapText="1" indent="1"/>
    </xf>
    <xf numFmtId="0" fontId="2" fillId="0" borderId="21" xfId="0" applyFont="1" applyBorder="1" applyAlignment="1" applyProtection="1">
      <alignment horizontal="left" vertical="center" wrapText="1" indent="1"/>
    </xf>
    <xf numFmtId="0" fontId="2" fillId="0" borderId="22" xfId="0" applyFont="1" applyBorder="1" applyAlignment="1" applyProtection="1">
      <alignment horizontal="left" vertical="center" wrapText="1" indent="1"/>
    </xf>
    <xf numFmtId="0" fontId="2" fillId="0" borderId="23" xfId="0" applyFont="1" applyBorder="1" applyAlignment="1" applyProtection="1">
      <alignment horizontal="left" vertical="center" wrapText="1" indent="1"/>
    </xf>
    <xf numFmtId="0" fontId="2" fillId="0" borderId="24" xfId="0" applyFont="1" applyBorder="1" applyAlignment="1" applyProtection="1">
      <alignment horizontal="left" vertical="center" wrapText="1" indent="1"/>
    </xf>
    <xf numFmtId="0" fontId="5" fillId="2" borderId="0" xfId="0" applyFont="1" applyFill="1" applyAlignment="1" applyProtection="1">
      <alignment horizontal="center" vertical="center" wrapText="1"/>
    </xf>
    <xf numFmtId="0" fontId="2" fillId="0" borderId="0" xfId="0" applyFont="1" applyAlignment="1" applyProtection="1">
      <alignment horizontal="center" vertical="center" wrapText="1"/>
    </xf>
    <xf numFmtId="0" fontId="6" fillId="3" borderId="10" xfId="0" applyFont="1" applyFill="1" applyBorder="1" applyAlignment="1" applyProtection="1">
      <alignment horizontal="center"/>
    </xf>
    <xf numFmtId="0" fontId="6" fillId="3" borderId="11" xfId="0" applyFont="1" applyFill="1" applyBorder="1" applyAlignment="1" applyProtection="1">
      <alignment horizontal="center"/>
    </xf>
    <xf numFmtId="0" fontId="6" fillId="3" borderId="12" xfId="0" applyFont="1" applyFill="1" applyBorder="1" applyAlignment="1" applyProtection="1">
      <alignment horizontal="center"/>
    </xf>
    <xf numFmtId="0" fontId="2" fillId="0" borderId="0" xfId="0" applyFont="1" applyAlignment="1" applyProtection="1">
      <alignment horizontal="center" vertical="center"/>
    </xf>
    <xf numFmtId="0" fontId="2" fillId="2" borderId="13"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3" fillId="0" borderId="0" xfId="0" applyFont="1" applyAlignment="1" applyProtection="1">
      <alignment horizontal="right" vertical="center"/>
    </xf>
    <xf numFmtId="0" fontId="8" fillId="0" borderId="15" xfId="0" applyFont="1" applyBorder="1" applyAlignment="1" applyProtection="1">
      <alignment vertical="center" wrapText="1"/>
    </xf>
    <xf numFmtId="0" fontId="8" fillId="0" borderId="1" xfId="0" applyFont="1" applyBorder="1" applyAlignment="1" applyProtection="1">
      <alignment vertical="center" wrapText="1"/>
    </xf>
    <xf numFmtId="0" fontId="9" fillId="0" borderId="16" xfId="0" applyFont="1" applyBorder="1" applyAlignment="1" applyProtection="1">
      <alignment vertical="center" wrapText="1"/>
    </xf>
    <xf numFmtId="0" fontId="0" fillId="0" borderId="0" xfId="0" applyAlignment="1" applyProtection="1">
      <alignment wrapText="1"/>
    </xf>
    <xf numFmtId="0" fontId="2" fillId="0" borderId="25" xfId="0" applyFont="1" applyBorder="1" applyAlignment="1" applyProtection="1">
      <alignment horizontal="left" vertical="center" wrapText="1" indent="1"/>
    </xf>
    <xf numFmtId="0" fontId="2" fillId="0" borderId="26" xfId="0" applyFont="1" applyBorder="1" applyAlignment="1" applyProtection="1">
      <alignment horizontal="left" vertical="center" wrapText="1" indent="1"/>
    </xf>
    <xf numFmtId="0" fontId="2" fillId="0" borderId="27" xfId="0" applyFont="1" applyBorder="1" applyAlignment="1" applyProtection="1">
      <alignment horizontal="left" vertical="center" wrapText="1" indent="1"/>
    </xf>
    <xf numFmtId="0" fontId="3" fillId="5" borderId="0" xfId="0" applyFont="1" applyFill="1" applyAlignment="1" applyProtection="1">
      <alignment horizontal="right" vertical="center"/>
    </xf>
    <xf numFmtId="0" fontId="9" fillId="5" borderId="15" xfId="0" applyFont="1" applyFill="1" applyBorder="1" applyAlignment="1" applyProtection="1">
      <alignment vertical="center" wrapText="1"/>
    </xf>
    <xf numFmtId="0" fontId="9" fillId="5" borderId="1" xfId="0" applyFont="1" applyFill="1" applyBorder="1" applyAlignment="1" applyProtection="1">
      <alignment vertical="center" wrapText="1"/>
    </xf>
    <xf numFmtId="0" fontId="9" fillId="5" borderId="16" xfId="0" applyFont="1" applyFill="1" applyBorder="1" applyAlignment="1" applyProtection="1">
      <alignment vertical="center" wrapText="1"/>
    </xf>
    <xf numFmtId="0" fontId="2" fillId="5" borderId="15" xfId="0" applyFont="1" applyFill="1" applyBorder="1" applyAlignment="1" applyProtection="1">
      <alignment vertical="center" wrapText="1"/>
    </xf>
    <xf numFmtId="0" fontId="2" fillId="5" borderId="1" xfId="0" applyFont="1" applyFill="1" applyBorder="1" applyAlignment="1" applyProtection="1">
      <alignment vertical="center" wrapText="1"/>
    </xf>
    <xf numFmtId="0" fontId="2" fillId="5" borderId="16" xfId="0" applyFont="1" applyFill="1" applyBorder="1" applyAlignment="1" applyProtection="1">
      <alignment vertical="center" wrapText="1"/>
    </xf>
    <xf numFmtId="0" fontId="2" fillId="5" borderId="17" xfId="0" applyFont="1" applyFill="1" applyBorder="1" applyAlignment="1" applyProtection="1">
      <alignment vertical="center" wrapText="1"/>
    </xf>
    <xf numFmtId="0" fontId="2" fillId="5" borderId="18" xfId="0" applyFont="1" applyFill="1" applyBorder="1" applyAlignment="1" applyProtection="1">
      <alignment vertical="center" wrapText="1"/>
    </xf>
    <xf numFmtId="0" fontId="2" fillId="5" borderId="19" xfId="0" applyFont="1" applyFill="1" applyBorder="1" applyAlignment="1" applyProtection="1">
      <alignment vertical="center" wrapText="1"/>
    </xf>
    <xf numFmtId="0" fontId="8" fillId="0" borderId="16" xfId="0" applyFont="1" applyBorder="1" applyAlignment="1" applyProtection="1">
      <alignment vertical="center" wrapText="1"/>
    </xf>
    <xf numFmtId="0" fontId="8" fillId="5" borderId="15" xfId="0" applyFont="1" applyFill="1" applyBorder="1" applyAlignment="1" applyProtection="1">
      <alignment vertical="center" wrapText="1"/>
    </xf>
    <xf numFmtId="0" fontId="8" fillId="5" borderId="1" xfId="0" applyFont="1" applyFill="1" applyBorder="1" applyAlignment="1" applyProtection="1">
      <alignment vertical="center" wrapText="1"/>
    </xf>
    <xf numFmtId="0" fontId="2" fillId="0" borderId="0" xfId="0" applyFont="1" applyBorder="1" applyAlignment="1" applyProtection="1">
      <alignment horizontal="left" vertical="center" wrapText="1" indent="1"/>
    </xf>
  </cellXfs>
  <cellStyles count="1">
    <cellStyle name="Normal" xfId="0" builtinId="0"/>
  </cellStyles>
  <dxfs count="0"/>
  <tableStyles count="0" defaultTableStyle="TableStyleMedium2" defaultPivotStyle="PivotStyleLight16"/>
  <colors>
    <mruColors>
      <color rgb="FF043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lopperman" TargetMode="External"/><Relationship Id="rId2" Type="http://schemas.openxmlformats.org/officeDocument/2006/relationships/image" Target="../media/image1.png"/><Relationship Id="rId1" Type="http://schemas.openxmlformats.org/officeDocument/2006/relationships/hyperlink" Target="https://www.reddit.com/user/ITFuture" TargetMode="Externa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2</xdr:col>
      <xdr:colOff>0</xdr:colOff>
      <xdr:row>1</xdr:row>
      <xdr:rowOff>152400</xdr:rowOff>
    </xdr:from>
    <xdr:to>
      <xdr:col>11</xdr:col>
      <xdr:colOff>927100</xdr:colOff>
      <xdr:row>6</xdr:row>
      <xdr:rowOff>12700</xdr:rowOff>
    </xdr:to>
    <xdr:grpSp>
      <xdr:nvGrpSpPr>
        <xdr:cNvPr id="3" name="Group 2">
          <a:extLst>
            <a:ext uri="{FF2B5EF4-FFF2-40B4-BE49-F238E27FC236}">
              <a16:creationId xmlns:a16="http://schemas.microsoft.com/office/drawing/2014/main" id="{715F65B6-B343-264D-A490-5602FFA3C760}"/>
            </a:ext>
          </a:extLst>
        </xdr:cNvPr>
        <xdr:cNvGrpSpPr/>
      </xdr:nvGrpSpPr>
      <xdr:grpSpPr>
        <a:xfrm>
          <a:off x="1371600" y="355600"/>
          <a:ext cx="5727700" cy="876300"/>
          <a:chOff x="6558001" y="13419535"/>
          <a:chExt cx="4803851" cy="622365"/>
        </a:xfrm>
      </xdr:grpSpPr>
      <xdr:sp macro="" textlink="">
        <xdr:nvSpPr>
          <xdr:cNvPr id="4" name="Rectangle 3">
            <a:extLst>
              <a:ext uri="{FF2B5EF4-FFF2-40B4-BE49-F238E27FC236}">
                <a16:creationId xmlns:a16="http://schemas.microsoft.com/office/drawing/2014/main" id="{1825713A-DD08-21AE-40C3-0BAEC1B6C380}"/>
              </a:ext>
            </a:extLst>
          </xdr:cNvPr>
          <xdr:cNvSpPr/>
        </xdr:nvSpPr>
        <xdr:spPr>
          <a:xfrm>
            <a:off x="6558001" y="13419535"/>
            <a:ext cx="4803851" cy="622365"/>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hlinkClick xmlns:r="http://schemas.openxmlformats.org/officeDocument/2006/relationships" r:id="rId1" tooltip="Reddit -- ITFuture"/>
            <a:extLst>
              <a:ext uri="{FF2B5EF4-FFF2-40B4-BE49-F238E27FC236}">
                <a16:creationId xmlns:a16="http://schemas.microsoft.com/office/drawing/2014/main" id="{811A4ACC-1901-4141-2446-2C514CAA66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02437" y="13563673"/>
            <a:ext cx="280502" cy="449826"/>
          </a:xfrm>
          <a:prstGeom prst="rect">
            <a:avLst/>
          </a:prstGeom>
        </xdr:spPr>
      </xdr:pic>
      <xdr:pic>
        <xdr:nvPicPr>
          <xdr:cNvPr id="6" name="Picture 5">
            <a:hlinkClick xmlns:r="http://schemas.openxmlformats.org/officeDocument/2006/relationships" r:id="rId3" tooltip="GitHub - Lopperman"/>
            <a:extLst>
              <a:ext uri="{FF2B5EF4-FFF2-40B4-BE49-F238E27FC236}">
                <a16:creationId xmlns:a16="http://schemas.microsoft.com/office/drawing/2014/main" id="{5C37C687-7F42-CBD3-E2FA-BF3E5F4CD0B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33768" y="13557250"/>
            <a:ext cx="368949" cy="368300"/>
          </a:xfrm>
          <a:prstGeom prst="rect">
            <a:avLst/>
          </a:prstGeom>
        </xdr:spPr>
      </xdr:pic>
      <xdr:sp macro="" textlink="">
        <xdr:nvSpPr>
          <xdr:cNvPr id="7" name="TextBox 6">
            <a:extLst>
              <a:ext uri="{FF2B5EF4-FFF2-40B4-BE49-F238E27FC236}">
                <a16:creationId xmlns:a16="http://schemas.microsoft.com/office/drawing/2014/main" id="{A298ECFC-2123-0D32-75B3-F3AD00B78844}"/>
              </a:ext>
            </a:extLst>
          </xdr:cNvPr>
          <xdr:cNvSpPr txBox="1"/>
        </xdr:nvSpPr>
        <xdr:spPr>
          <a:xfrm>
            <a:off x="7351858" y="13462217"/>
            <a:ext cx="2809032" cy="182813"/>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Worksheet Protection</a:t>
            </a:r>
          </a:p>
        </xdr:txBody>
      </xdr:sp>
      <xdr:sp macro="" textlink="">
        <xdr:nvSpPr>
          <xdr:cNvPr id="8" name="TextBox 7">
            <a:extLst>
              <a:ext uri="{FF2B5EF4-FFF2-40B4-BE49-F238E27FC236}">
                <a16:creationId xmlns:a16="http://schemas.microsoft.com/office/drawing/2014/main" id="{87A9451C-5D78-2A6F-2929-A3854973D0B3}"/>
              </a:ext>
            </a:extLst>
          </xdr:cNvPr>
          <xdr:cNvSpPr txBox="1"/>
        </xdr:nvSpPr>
        <xdr:spPr>
          <a:xfrm>
            <a:off x="6946900" y="13646366"/>
            <a:ext cx="3949700" cy="389119"/>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How To's and Lessons Learned about</a:t>
            </a:r>
            <a:r>
              <a:rPr lang="en-US" sz="1200" b="0" i="1" baseline="0">
                <a:solidFill>
                  <a:schemeClr val="tx2">
                    <a:lumMod val="60000"/>
                    <a:lumOff val="40000"/>
                  </a:schemeClr>
                </a:solidFill>
              </a:rPr>
              <a:t> Worksheet Protection using VBA for MS Excel</a:t>
            </a:r>
            <a:endParaRPr lang="en-US" sz="1200" b="0" i="1">
              <a:solidFill>
                <a:schemeClr val="tx2">
                  <a:lumMod val="60000"/>
                  <a:lumOff val="40000"/>
                </a:schemeClr>
              </a:solidFill>
            </a:endParaRPr>
          </a:p>
        </xdr:txBody>
      </xdr:sp>
    </xdr:grpSp>
    <xdr:clientData/>
  </xdr:twoCellAnchor>
  <xdr:twoCellAnchor editAs="absolute">
    <xdr:from>
      <xdr:col>13</xdr:col>
      <xdr:colOff>946150</xdr:colOff>
      <xdr:row>0</xdr:row>
      <xdr:rowOff>114300</xdr:rowOff>
    </xdr:from>
    <xdr:to>
      <xdr:col>14</xdr:col>
      <xdr:colOff>242699</xdr:colOff>
      <xdr:row>8</xdr:row>
      <xdr:rowOff>101600</xdr:rowOff>
    </xdr:to>
    <xdr:pic>
      <xdr:nvPicPr>
        <xdr:cNvPr id="59" name="wsDemo_graphic">
          <a:extLst>
            <a:ext uri="{FF2B5EF4-FFF2-40B4-BE49-F238E27FC236}">
              <a16:creationId xmlns:a16="http://schemas.microsoft.com/office/drawing/2014/main" id="{8DB6E888-6A0D-D94F-86D1-8D5CCA69E675}"/>
            </a:ext>
          </a:extLst>
        </xdr:cNvPr>
        <xdr:cNvPicPr>
          <a:picLocks noChangeAspect="1"/>
        </xdr:cNvPicPr>
      </xdr:nvPicPr>
      <xdr:blipFill>
        <a:blip xmlns:r="http://schemas.openxmlformats.org/officeDocument/2006/relationships" r:embed="rId5" cstate="print">
          <a:alphaModFix amt="78000"/>
          <a:extLst>
            <a:ext uri="{28A0092B-C50C-407E-A947-70E740481C1C}">
              <a14:useLocalDpi xmlns:a14="http://schemas.microsoft.com/office/drawing/2010/main" val="0"/>
            </a:ext>
          </a:extLst>
        </a:blip>
        <a:stretch>
          <a:fillRect/>
        </a:stretch>
      </xdr:blipFill>
      <xdr:spPr>
        <a:xfrm>
          <a:off x="10407650" y="114300"/>
          <a:ext cx="1049149" cy="1701800"/>
        </a:xfrm>
        <a:prstGeom prst="rect">
          <a:avLst/>
        </a:prstGeom>
      </xdr:spPr>
    </xdr:pic>
    <xdr:clientData/>
  </xdr:twoCellAnchor>
  <xdr:twoCellAnchor editAs="oneCell">
    <xdr:from>
      <xdr:col>0</xdr:col>
      <xdr:colOff>0</xdr:colOff>
      <xdr:row>0</xdr:row>
      <xdr:rowOff>38100</xdr:rowOff>
    </xdr:from>
    <xdr:to>
      <xdr:col>1</xdr:col>
      <xdr:colOff>330200</xdr:colOff>
      <xdr:row>7</xdr:row>
      <xdr:rowOff>109163</xdr:rowOff>
    </xdr:to>
    <xdr:pic>
      <xdr:nvPicPr>
        <xdr:cNvPr id="10" name="Picture 9">
          <a:extLst>
            <a:ext uri="{FF2B5EF4-FFF2-40B4-BE49-F238E27FC236}">
              <a16:creationId xmlns:a16="http://schemas.microsoft.com/office/drawing/2014/main" id="{181E215E-649B-22BB-5A1F-B489AB133F8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38100"/>
          <a:ext cx="1155700" cy="1531563"/>
        </a:xfrm>
        <a:prstGeom prst="rect">
          <a:avLst/>
        </a:prstGeom>
      </xdr:spPr>
    </xdr:pic>
    <xdr:clientData/>
  </xdr:twoCellAnchor>
  <xdr:twoCellAnchor editAs="oneCell">
    <xdr:from>
      <xdr:col>10</xdr:col>
      <xdr:colOff>812800</xdr:colOff>
      <xdr:row>32</xdr:row>
      <xdr:rowOff>38100</xdr:rowOff>
    </xdr:from>
    <xdr:to>
      <xdr:col>15</xdr:col>
      <xdr:colOff>1638300</xdr:colOff>
      <xdr:row>35</xdr:row>
      <xdr:rowOff>127000</xdr:rowOff>
    </xdr:to>
    <xdr:sp macro="ButtonAction" textlink="">
      <xdr:nvSpPr>
        <xdr:cNvPr id="2" name="btnResetToDefault">
          <a:extLst>
            <a:ext uri="{FF2B5EF4-FFF2-40B4-BE49-F238E27FC236}">
              <a16:creationId xmlns:a16="http://schemas.microsoft.com/office/drawing/2014/main" id="{7F8F6D3C-8831-EE40-8D53-274025B05BEC}"/>
            </a:ext>
          </a:extLst>
        </xdr:cNvPr>
        <xdr:cNvSpPr/>
      </xdr:nvSpPr>
      <xdr:spPr>
        <a:xfrm>
          <a:off x="9067800" y="6832600"/>
          <a:ext cx="8432800" cy="698500"/>
        </a:xfrm>
        <a:prstGeom prst="roundRect">
          <a:avLst/>
        </a:prstGeom>
        <a:solidFill>
          <a:schemeClr val="accent4">
            <a:lumMod val="20000"/>
            <a:lumOff val="80000"/>
          </a:schemeClr>
        </a:solidFill>
        <a:ln w="22225">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600" b="1" u="none">
              <a:solidFill>
                <a:srgbClr val="0432FF"/>
              </a:solidFill>
              <a:latin typeface="+mn-lt"/>
              <a:ea typeface="+mn-ea"/>
              <a:cs typeface="+mn-cs"/>
            </a:rPr>
            <a:t>PRESS</a:t>
          </a:r>
          <a:r>
            <a:rPr lang="en-US" sz="1600" b="1" u="none" baseline="0">
              <a:solidFill>
                <a:srgbClr val="0432FF"/>
              </a:solidFill>
              <a:latin typeface="+mn-lt"/>
              <a:ea typeface="+mn-ea"/>
              <a:cs typeface="+mn-cs"/>
            </a:rPr>
            <a:t> TO </a:t>
          </a:r>
          <a:r>
            <a:rPr lang="en-US" sz="1600" b="1" u="none">
              <a:solidFill>
                <a:srgbClr val="0432FF"/>
              </a:solidFill>
              <a:latin typeface="+mn-lt"/>
              <a:ea typeface="+mn-ea"/>
              <a:cs typeface="+mn-cs"/>
            </a:rPr>
            <a:t>RESET ABOVE</a:t>
          </a:r>
          <a:r>
            <a:rPr lang="en-US" sz="1600" b="1" u="none" baseline="0">
              <a:solidFill>
                <a:srgbClr val="0432FF"/>
              </a:solidFill>
              <a:latin typeface="+mn-lt"/>
              <a:ea typeface="+mn-ea"/>
              <a:cs typeface="+mn-cs"/>
            </a:rPr>
            <a:t> TO DEFAULT PROTECTION SETTINGS (pbProtection.DefaultProtectOptions)</a:t>
          </a:r>
          <a:endParaRPr lang="en-US" sz="1600" b="1" u="none">
            <a:solidFill>
              <a:srgbClr val="0432FF"/>
            </a:solidFill>
            <a:latin typeface="+mn-lt"/>
            <a:ea typeface="+mn-ea"/>
            <a:cs typeface="+mn-cs"/>
          </a:endParaRPr>
        </a:p>
      </xdr:txBody>
    </xdr:sp>
    <xdr:clientData fPrintsWithSheet="0"/>
  </xdr:twoCellAnchor>
  <xdr:twoCellAnchor editAs="oneCell">
    <xdr:from>
      <xdr:col>10</xdr:col>
      <xdr:colOff>812800</xdr:colOff>
      <xdr:row>36</xdr:row>
      <xdr:rowOff>25400</xdr:rowOff>
    </xdr:from>
    <xdr:to>
      <xdr:col>15</xdr:col>
      <xdr:colOff>1638300</xdr:colOff>
      <xdr:row>39</xdr:row>
      <xdr:rowOff>114300</xdr:rowOff>
    </xdr:to>
    <xdr:sp macro="ButtonAction" textlink="">
      <xdr:nvSpPr>
        <xdr:cNvPr id="9" name="btnDemo">
          <a:extLst>
            <a:ext uri="{FF2B5EF4-FFF2-40B4-BE49-F238E27FC236}">
              <a16:creationId xmlns:a16="http://schemas.microsoft.com/office/drawing/2014/main" id="{33398D74-E365-3741-98B8-3607BA79B240}"/>
            </a:ext>
          </a:extLst>
        </xdr:cNvPr>
        <xdr:cNvSpPr/>
      </xdr:nvSpPr>
      <xdr:spPr>
        <a:xfrm>
          <a:off x="9067800" y="7632700"/>
          <a:ext cx="8432800" cy="698500"/>
        </a:xfrm>
        <a:prstGeom prst="roundRect">
          <a:avLst/>
        </a:prstGeom>
        <a:solidFill>
          <a:schemeClr val="accent4">
            <a:lumMod val="20000"/>
            <a:lumOff val="80000"/>
          </a:schemeClr>
        </a:solidFill>
        <a:ln w="22225">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600" b="1" u="none">
              <a:solidFill>
                <a:srgbClr val="0432FF"/>
              </a:solidFill>
              <a:latin typeface="+mn-lt"/>
              <a:ea typeface="+mn-ea"/>
              <a:cs typeface="+mn-cs"/>
            </a:rPr>
            <a:t>PRESS TO RUN</a:t>
          </a:r>
          <a:r>
            <a:rPr lang="en-US" sz="1600" b="1" u="none" baseline="0">
              <a:solidFill>
                <a:srgbClr val="0432FF"/>
              </a:solidFill>
              <a:latin typeface="+mn-lt"/>
              <a:ea typeface="+mn-ea"/>
              <a:cs typeface="+mn-cs"/>
            </a:rPr>
            <a:t> TESTS FOR SHEET1, SHEET2, AND SHEET3</a:t>
          </a:r>
        </a:p>
        <a:p>
          <a:pPr indent="0" algn="ctr"/>
          <a:r>
            <a:rPr lang="en-US" sz="1600" b="1" u="none" baseline="0">
              <a:solidFill>
                <a:srgbClr val="0432FF"/>
              </a:solidFill>
              <a:latin typeface="+mn-lt"/>
              <a:ea typeface="+mn-ea"/>
              <a:cs typeface="+mn-cs"/>
            </a:rPr>
            <a:t>RESULTS WILL APPEAR BELOW</a:t>
          </a:r>
          <a:endParaRPr lang="en-US" sz="1600" b="1" u="none">
            <a:solidFill>
              <a:srgbClr val="0432FF"/>
            </a:solidFill>
            <a:latin typeface="+mn-lt"/>
            <a:ea typeface="+mn-ea"/>
            <a:cs typeface="+mn-cs"/>
          </a:endParaRPr>
        </a:p>
      </xdr:txBody>
    </xdr: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18BAA-E085-4E49-9535-95B62A116C34}">
  <sheetPr codeName="wsDemo">
    <tabColor rgb="FF0432FF"/>
  </sheetPr>
  <dimension ref="B2:S94"/>
  <sheetViews>
    <sheetView showGridLines="0" tabSelected="1" zoomScaleNormal="100" workbookViewId="0">
      <selection activeCell="G63" sqref="G63"/>
    </sheetView>
  </sheetViews>
  <sheetFormatPr baseColWidth="10" defaultRowHeight="16" x14ac:dyDescent="0.2"/>
  <cols>
    <col min="1" max="1" width="10.83203125" style="1"/>
    <col min="2" max="2" width="7.1640625" style="1" customWidth="1"/>
    <col min="3" max="9" width="7.6640625" style="1" customWidth="1"/>
    <col min="10" max="11" width="4.6640625" style="1" customWidth="1"/>
    <col min="12" max="12" width="14" style="1" customWidth="1"/>
    <col min="13" max="13" width="29.1640625" style="1" bestFit="1" customWidth="1"/>
    <col min="14" max="15" width="23" style="1" bestFit="1" customWidth="1"/>
    <col min="16" max="16" width="23.83203125" style="1" bestFit="1" customWidth="1"/>
    <col min="17" max="22" width="15.6640625" style="1" customWidth="1"/>
    <col min="23" max="16384" width="10.83203125" style="1"/>
  </cols>
  <sheetData>
    <row r="2" spans="2:17" ht="16" customHeight="1" x14ac:dyDescent="0.2"/>
    <row r="3" spans="2:17" ht="16" customHeight="1" x14ac:dyDescent="0.2"/>
    <row r="7" spans="2:17" ht="19" customHeight="1" x14ac:dyDescent="0.2"/>
    <row r="8" spans="2:17" ht="20" customHeight="1" x14ac:dyDescent="0.2">
      <c r="B8" s="2"/>
      <c r="C8" s="2"/>
    </row>
    <row r="9" spans="2:17" x14ac:dyDescent="0.2">
      <c r="B9" s="2"/>
      <c r="C9" s="2"/>
    </row>
    <row r="10" spans="2:17" x14ac:dyDescent="0.2">
      <c r="B10" s="2"/>
      <c r="C10" s="2"/>
    </row>
    <row r="11" spans="2:17" x14ac:dyDescent="0.2">
      <c r="B11" s="3"/>
      <c r="C11" s="3"/>
    </row>
    <row r="12" spans="2:17" ht="29" x14ac:dyDescent="0.35">
      <c r="B12" s="4" t="s">
        <v>0</v>
      </c>
      <c r="C12" s="4"/>
      <c r="D12" s="4"/>
      <c r="E12" s="4"/>
      <c r="F12" s="4"/>
      <c r="G12" s="4"/>
      <c r="H12" s="4"/>
      <c r="I12" s="4"/>
    </row>
    <row r="13" spans="2:17" ht="17" thickBot="1" x14ac:dyDescent="0.25"/>
    <row r="14" spans="2:17" ht="29" customHeight="1" x14ac:dyDescent="0.2">
      <c r="B14" s="5" t="s">
        <v>31</v>
      </c>
      <c r="C14" s="6"/>
      <c r="D14" s="6"/>
      <c r="E14" s="6"/>
      <c r="F14" s="6"/>
      <c r="G14" s="6"/>
      <c r="H14" s="6"/>
      <c r="I14" s="6"/>
      <c r="J14" s="7"/>
      <c r="K14" s="8"/>
      <c r="L14" s="9" t="s">
        <v>30</v>
      </c>
      <c r="M14" s="10" t="s">
        <v>2</v>
      </c>
      <c r="N14" s="11" t="s">
        <v>1</v>
      </c>
      <c r="O14" s="11" t="s">
        <v>21</v>
      </c>
      <c r="P14" s="11" t="s">
        <v>22</v>
      </c>
    </row>
    <row r="15" spans="2:17" ht="26" customHeight="1" x14ac:dyDescent="0.2">
      <c r="B15" s="12"/>
      <c r="C15" s="13"/>
      <c r="D15" s="13"/>
      <c r="E15" s="13"/>
      <c r="F15" s="13"/>
      <c r="G15" s="13"/>
      <c r="H15" s="13"/>
      <c r="I15" s="13"/>
      <c r="J15" s="14"/>
      <c r="K15" s="8"/>
      <c r="L15" s="15"/>
      <c r="M15" s="16" t="s">
        <v>18</v>
      </c>
      <c r="N15" s="17" t="b" cm="1">
        <f t="array" aca="1" ref="N15" ca="1">UserInterfaceOnlyForced()</f>
        <v>0</v>
      </c>
      <c r="O15" s="17"/>
      <c r="P15" s="17"/>
      <c r="Q15" s="18" t="s">
        <v>19</v>
      </c>
    </row>
    <row r="16" spans="2:17" ht="16" customHeight="1" x14ac:dyDescent="0.2">
      <c r="B16" s="12"/>
      <c r="C16" s="13"/>
      <c r="D16" s="13"/>
      <c r="E16" s="13"/>
      <c r="F16" s="13"/>
      <c r="G16" s="13"/>
      <c r="H16" s="13"/>
      <c r="I16" s="13"/>
      <c r="J16" s="14"/>
      <c r="L16" s="19">
        <v>4</v>
      </c>
      <c r="M16" s="20" t="s">
        <v>3</v>
      </c>
      <c r="N16" s="21" t="b">
        <v>1</v>
      </c>
      <c r="O16" s="21" t="b">
        <v>1</v>
      </c>
      <c r="P16" s="21" t="b">
        <v>1</v>
      </c>
      <c r="Q16" s="22" t="s">
        <v>20</v>
      </c>
    </row>
    <row r="17" spans="2:19" x14ac:dyDescent="0.2">
      <c r="B17" s="12"/>
      <c r="C17" s="13"/>
      <c r="D17" s="13"/>
      <c r="E17" s="13"/>
      <c r="F17" s="13"/>
      <c r="G17" s="13"/>
      <c r="H17" s="13"/>
      <c r="I17" s="13"/>
      <c r="J17" s="14"/>
      <c r="L17" s="23">
        <v>1</v>
      </c>
      <c r="M17" s="24" t="s">
        <v>4</v>
      </c>
      <c r="N17" s="21" t="b">
        <v>1</v>
      </c>
      <c r="O17" s="21" t="b">
        <v>1</v>
      </c>
      <c r="P17" s="21" t="b">
        <v>1</v>
      </c>
      <c r="Q17" s="25"/>
    </row>
    <row r="18" spans="2:19" x14ac:dyDescent="0.2">
      <c r="B18" s="12"/>
      <c r="C18" s="13"/>
      <c r="D18" s="13"/>
      <c r="E18" s="13"/>
      <c r="F18" s="13"/>
      <c r="G18" s="13"/>
      <c r="H18" s="13"/>
      <c r="I18" s="13"/>
      <c r="J18" s="14"/>
      <c r="L18" s="23">
        <v>8</v>
      </c>
      <c r="M18" s="24" t="s">
        <v>5</v>
      </c>
      <c r="N18" s="21" t="b">
        <v>1</v>
      </c>
      <c r="O18" s="21" t="b">
        <v>1</v>
      </c>
      <c r="P18" s="21" t="b">
        <v>1</v>
      </c>
      <c r="Q18" s="25"/>
    </row>
    <row r="19" spans="2:19" x14ac:dyDescent="0.2">
      <c r="B19" s="12"/>
      <c r="C19" s="13"/>
      <c r="D19" s="13"/>
      <c r="E19" s="13"/>
      <c r="F19" s="13"/>
      <c r="G19" s="13"/>
      <c r="H19" s="13"/>
      <c r="I19" s="13"/>
      <c r="J19" s="14"/>
      <c r="L19" s="23">
        <v>16</v>
      </c>
      <c r="M19" s="26" t="s">
        <v>6</v>
      </c>
      <c r="N19" s="27" t="b">
        <v>1</v>
      </c>
      <c r="O19" s="27" t="b">
        <v>1</v>
      </c>
      <c r="P19" s="27" t="b">
        <v>1</v>
      </c>
      <c r="Q19" s="25"/>
      <c r="S19" s="18"/>
    </row>
    <row r="20" spans="2:19" x14ac:dyDescent="0.2">
      <c r="B20" s="12"/>
      <c r="C20" s="13"/>
      <c r="D20" s="13"/>
      <c r="E20" s="13"/>
      <c r="F20" s="13"/>
      <c r="G20" s="13"/>
      <c r="H20" s="13"/>
      <c r="I20" s="13"/>
      <c r="J20" s="14"/>
      <c r="L20" s="23">
        <v>32</v>
      </c>
      <c r="M20" s="24" t="s">
        <v>7</v>
      </c>
      <c r="N20" s="21" t="b">
        <v>1</v>
      </c>
      <c r="O20" s="21" t="b">
        <v>1</v>
      </c>
      <c r="P20" s="21" t="b">
        <v>1</v>
      </c>
      <c r="Q20" s="25"/>
    </row>
    <row r="21" spans="2:19" x14ac:dyDescent="0.2">
      <c r="B21" s="12"/>
      <c r="C21" s="13"/>
      <c r="D21" s="13"/>
      <c r="E21" s="13"/>
      <c r="F21" s="13"/>
      <c r="G21" s="13"/>
      <c r="H21" s="13"/>
      <c r="I21" s="13"/>
      <c r="J21" s="14"/>
      <c r="L21" s="23">
        <v>64</v>
      </c>
      <c r="M21" s="24" t="s">
        <v>8</v>
      </c>
      <c r="N21" s="21" t="b">
        <v>1</v>
      </c>
      <c r="O21" s="21" t="b">
        <v>1</v>
      </c>
      <c r="P21" s="21" t="b">
        <v>1</v>
      </c>
      <c r="Q21" s="25"/>
    </row>
    <row r="22" spans="2:19" x14ac:dyDescent="0.2">
      <c r="B22" s="12"/>
      <c r="C22" s="13"/>
      <c r="D22" s="13"/>
      <c r="E22" s="13"/>
      <c r="F22" s="13"/>
      <c r="G22" s="13"/>
      <c r="H22" s="13"/>
      <c r="I22" s="13"/>
      <c r="J22" s="14"/>
      <c r="L22" s="23">
        <v>128</v>
      </c>
      <c r="M22" s="24" t="s">
        <v>9</v>
      </c>
      <c r="N22" s="21" t="b">
        <v>1</v>
      </c>
      <c r="O22" s="21" t="b">
        <v>1</v>
      </c>
      <c r="P22" s="21" t="b">
        <v>1</v>
      </c>
      <c r="Q22" s="25"/>
    </row>
    <row r="23" spans="2:19" x14ac:dyDescent="0.2">
      <c r="B23" s="12"/>
      <c r="C23" s="13"/>
      <c r="D23" s="13"/>
      <c r="E23" s="13"/>
      <c r="F23" s="13"/>
      <c r="G23" s="13"/>
      <c r="H23" s="13"/>
      <c r="I23" s="13"/>
      <c r="J23" s="14"/>
      <c r="L23" s="23">
        <v>256</v>
      </c>
      <c r="M23" s="24" t="s">
        <v>10</v>
      </c>
      <c r="N23" s="21" t="b">
        <v>0</v>
      </c>
      <c r="O23" s="21" t="b">
        <v>0</v>
      </c>
      <c r="P23" s="21" t="b">
        <v>0</v>
      </c>
      <c r="Q23" s="25"/>
    </row>
    <row r="24" spans="2:19" x14ac:dyDescent="0.2">
      <c r="B24" s="12"/>
      <c r="C24" s="13"/>
      <c r="D24" s="13"/>
      <c r="E24" s="13"/>
      <c r="F24" s="13"/>
      <c r="G24" s="13"/>
      <c r="H24" s="13"/>
      <c r="I24" s="13"/>
      <c r="J24" s="14"/>
      <c r="L24" s="23">
        <v>512</v>
      </c>
      <c r="M24" s="24" t="s">
        <v>11</v>
      </c>
      <c r="N24" s="21" t="b">
        <v>0</v>
      </c>
      <c r="O24" s="21" t="b">
        <v>0</v>
      </c>
      <c r="P24" s="21" t="b">
        <v>0</v>
      </c>
      <c r="Q24" s="25"/>
    </row>
    <row r="25" spans="2:19" x14ac:dyDescent="0.2">
      <c r="B25" s="12"/>
      <c r="C25" s="13"/>
      <c r="D25" s="13"/>
      <c r="E25" s="13"/>
      <c r="F25" s="13"/>
      <c r="G25" s="13"/>
      <c r="H25" s="13"/>
      <c r="I25" s="13"/>
      <c r="J25" s="14"/>
      <c r="L25" s="23">
        <v>1024</v>
      </c>
      <c r="M25" s="24" t="s">
        <v>12</v>
      </c>
      <c r="N25" s="21" t="b">
        <v>0</v>
      </c>
      <c r="O25" s="21" t="b">
        <v>0</v>
      </c>
      <c r="P25" s="21" t="b">
        <v>0</v>
      </c>
      <c r="Q25" s="25"/>
    </row>
    <row r="26" spans="2:19" x14ac:dyDescent="0.2">
      <c r="B26" s="12"/>
      <c r="C26" s="13"/>
      <c r="D26" s="13"/>
      <c r="E26" s="13"/>
      <c r="F26" s="13"/>
      <c r="G26" s="13"/>
      <c r="H26" s="13"/>
      <c r="I26" s="13"/>
      <c r="J26" s="14"/>
      <c r="L26" s="23">
        <v>2048</v>
      </c>
      <c r="M26" s="24" t="s">
        <v>13</v>
      </c>
      <c r="N26" s="21" t="b">
        <v>0</v>
      </c>
      <c r="O26" s="21" t="b">
        <v>0</v>
      </c>
      <c r="P26" s="21" t="b">
        <v>0</v>
      </c>
      <c r="Q26" s="25"/>
    </row>
    <row r="27" spans="2:19" x14ac:dyDescent="0.2">
      <c r="B27" s="12"/>
      <c r="C27" s="13"/>
      <c r="D27" s="13"/>
      <c r="E27" s="13"/>
      <c r="F27" s="13"/>
      <c r="G27" s="13"/>
      <c r="H27" s="13"/>
      <c r="I27" s="13"/>
      <c r="J27" s="14"/>
      <c r="L27" s="23">
        <v>4096</v>
      </c>
      <c r="M27" s="24" t="s">
        <v>14</v>
      </c>
      <c r="N27" s="21" t="b">
        <v>0</v>
      </c>
      <c r="O27" s="21" t="b">
        <v>0</v>
      </c>
      <c r="P27" s="21" t="b">
        <v>0</v>
      </c>
      <c r="Q27" s="25"/>
    </row>
    <row r="28" spans="2:19" x14ac:dyDescent="0.2">
      <c r="B28" s="12"/>
      <c r="C28" s="13"/>
      <c r="D28" s="13"/>
      <c r="E28" s="13"/>
      <c r="F28" s="13"/>
      <c r="G28" s="13"/>
      <c r="H28" s="13"/>
      <c r="I28" s="13"/>
      <c r="J28" s="14"/>
      <c r="L28" s="23">
        <v>8192</v>
      </c>
      <c r="M28" s="24" t="s">
        <v>15</v>
      </c>
      <c r="N28" s="21" t="b">
        <v>1</v>
      </c>
      <c r="O28" s="21" t="b">
        <v>1</v>
      </c>
      <c r="P28" s="21" t="b">
        <v>1</v>
      </c>
      <c r="Q28" s="25"/>
    </row>
    <row r="29" spans="2:19" x14ac:dyDescent="0.2">
      <c r="B29" s="12"/>
      <c r="C29" s="13"/>
      <c r="D29" s="13"/>
      <c r="E29" s="13"/>
      <c r="F29" s="13"/>
      <c r="G29" s="13"/>
      <c r="H29" s="13"/>
      <c r="I29" s="13"/>
      <c r="J29" s="14"/>
      <c r="L29" s="23">
        <v>16384</v>
      </c>
      <c r="M29" s="24" t="s">
        <v>16</v>
      </c>
      <c r="N29" s="21" t="b">
        <v>1</v>
      </c>
      <c r="O29" s="21" t="b">
        <v>1</v>
      </c>
      <c r="P29" s="21" t="b">
        <v>1</v>
      </c>
      <c r="Q29" s="25"/>
    </row>
    <row r="30" spans="2:19" x14ac:dyDescent="0.2">
      <c r="B30" s="12"/>
      <c r="C30" s="13"/>
      <c r="D30" s="13"/>
      <c r="E30" s="13"/>
      <c r="F30" s="13"/>
      <c r="G30" s="13"/>
      <c r="H30" s="13"/>
      <c r="I30" s="13"/>
      <c r="J30" s="14"/>
      <c r="L30" s="28">
        <v>32768</v>
      </c>
      <c r="M30" s="29" t="s">
        <v>17</v>
      </c>
      <c r="N30" s="21" t="b">
        <v>0</v>
      </c>
      <c r="O30" s="21" t="b">
        <v>0</v>
      </c>
      <c r="P30" s="21" t="b">
        <v>0</v>
      </c>
      <c r="Q30" s="30"/>
    </row>
    <row r="31" spans="2:19" ht="20" thickBot="1" x14ac:dyDescent="0.25">
      <c r="B31" s="31"/>
      <c r="C31" s="32"/>
      <c r="D31" s="32"/>
      <c r="E31" s="32"/>
      <c r="F31" s="32"/>
      <c r="G31" s="32"/>
      <c r="H31" s="32"/>
      <c r="I31" s="32"/>
      <c r="J31" s="33"/>
      <c r="L31" s="34" t="str" cm="1">
        <f t="array" aca="1" ref="L31" ca="1">"Current Enum Value (Default: " &amp; DefaultProtectSheetOptions() &amp; ")"</f>
        <v>Current Enum Value (Default: 24829)</v>
      </c>
      <c r="M31" s="35"/>
      <c r="N31" s="36" cm="1">
        <f t="array" ref="N31">SUMPRODUCT($L$16:$L$30,_xlfn.MAKEARRAY(15,1,_xlfn.LAMBDA(_xlpm.r,_xlpm.c,IF(INDEX(N16:N30,_xlpm.r)=TRUE,1,0))))</f>
        <v>24829</v>
      </c>
      <c r="O31" s="36" cm="1">
        <f t="array" ref="O31">SUMPRODUCT($L$16:$L$30,_xlfn.MAKEARRAY(15,1,_xlfn.LAMBDA(_xlpm.r,_xlpm.c,IF(INDEX(O16:O30,_xlpm.r)=TRUE,1,0))))</f>
        <v>24829</v>
      </c>
      <c r="P31" s="36" cm="1">
        <f t="array" ref="P31">SUMPRODUCT($L$16:$L$30,_xlfn.MAKEARRAY(15,1,_xlfn.LAMBDA(_xlpm.r,_xlpm.c,IF(INDEX(P16:P30,_xlpm.r)=TRUE,1,0))))</f>
        <v>24829</v>
      </c>
    </row>
    <row r="32" spans="2:19" ht="17" thickBot="1" x14ac:dyDescent="0.25"/>
    <row r="33" spans="2:17" ht="16" customHeight="1" x14ac:dyDescent="0.2">
      <c r="B33" s="37" t="s">
        <v>32</v>
      </c>
      <c r="C33" s="38"/>
      <c r="D33" s="38"/>
      <c r="E33" s="38"/>
      <c r="F33" s="38"/>
      <c r="G33" s="38"/>
      <c r="H33" s="38"/>
      <c r="I33" s="38"/>
      <c r="J33" s="39"/>
    </row>
    <row r="34" spans="2:17" x14ac:dyDescent="0.2">
      <c r="B34" s="40"/>
      <c r="C34" s="72"/>
      <c r="D34" s="72"/>
      <c r="E34" s="72"/>
      <c r="F34" s="72"/>
      <c r="G34" s="72"/>
      <c r="H34" s="72"/>
      <c r="I34" s="72"/>
      <c r="J34" s="41"/>
    </row>
    <row r="35" spans="2:17" x14ac:dyDescent="0.2">
      <c r="B35" s="40"/>
      <c r="C35" s="72"/>
      <c r="D35" s="72"/>
      <c r="E35" s="72"/>
      <c r="F35" s="72"/>
      <c r="G35" s="72"/>
      <c r="H35" s="72"/>
      <c r="I35" s="72"/>
      <c r="J35" s="41"/>
    </row>
    <row r="36" spans="2:17" x14ac:dyDescent="0.2">
      <c r="B36" s="40"/>
      <c r="C36" s="72"/>
      <c r="D36" s="72"/>
      <c r="E36" s="72"/>
      <c r="F36" s="72"/>
      <c r="G36" s="72"/>
      <c r="H36" s="72"/>
      <c r="I36" s="72"/>
      <c r="J36" s="41"/>
    </row>
    <row r="37" spans="2:17" x14ac:dyDescent="0.2">
      <c r="B37" s="40"/>
      <c r="C37" s="72"/>
      <c r="D37" s="72"/>
      <c r="E37" s="72"/>
      <c r="F37" s="72"/>
      <c r="G37" s="72"/>
      <c r="H37" s="72"/>
      <c r="I37" s="72"/>
      <c r="J37" s="41"/>
    </row>
    <row r="38" spans="2:17" x14ac:dyDescent="0.2">
      <c r="B38" s="40"/>
      <c r="C38" s="72"/>
      <c r="D38" s="72"/>
      <c r="E38" s="72"/>
      <c r="F38" s="72"/>
      <c r="G38" s="72"/>
      <c r="H38" s="72"/>
      <c r="I38" s="72"/>
      <c r="J38" s="41"/>
    </row>
    <row r="39" spans="2:17" x14ac:dyDescent="0.2">
      <c r="B39" s="40"/>
      <c r="C39" s="72"/>
      <c r="D39" s="72"/>
      <c r="E39" s="72"/>
      <c r="F39" s="72"/>
      <c r="G39" s="72"/>
      <c r="H39" s="72"/>
      <c r="I39" s="72"/>
      <c r="J39" s="41"/>
    </row>
    <row r="40" spans="2:17" x14ac:dyDescent="0.2">
      <c r="B40" s="40"/>
      <c r="C40" s="72"/>
      <c r="D40" s="72"/>
      <c r="E40" s="72"/>
      <c r="F40" s="72"/>
      <c r="G40" s="72"/>
      <c r="H40" s="72"/>
      <c r="I40" s="72"/>
      <c r="J40" s="41"/>
    </row>
    <row r="41" spans="2:17" ht="16" customHeight="1" x14ac:dyDescent="0.2">
      <c r="B41" s="40"/>
      <c r="C41" s="72"/>
      <c r="D41" s="72"/>
      <c r="E41" s="72"/>
      <c r="F41" s="72"/>
      <c r="G41" s="72"/>
      <c r="H41" s="72"/>
      <c r="I41" s="72"/>
      <c r="J41" s="41"/>
      <c r="L41" s="42" t="s">
        <v>23</v>
      </c>
      <c r="M41" s="42"/>
      <c r="N41" s="42"/>
      <c r="O41" s="42"/>
      <c r="P41" s="42"/>
      <c r="Q41" s="42"/>
    </row>
    <row r="42" spans="2:17" x14ac:dyDescent="0.2">
      <c r="B42" s="40"/>
      <c r="C42" s="72"/>
      <c r="D42" s="72"/>
      <c r="E42" s="72"/>
      <c r="F42" s="72"/>
      <c r="G42" s="72"/>
      <c r="H42" s="72"/>
      <c r="I42" s="72"/>
      <c r="J42" s="41"/>
      <c r="L42" s="42"/>
      <c r="M42" s="42"/>
      <c r="N42" s="42"/>
      <c r="O42" s="42"/>
      <c r="P42" s="42"/>
      <c r="Q42" s="42"/>
    </row>
    <row r="43" spans="2:17" x14ac:dyDescent="0.2">
      <c r="B43" s="40"/>
      <c r="C43" s="72"/>
      <c r="D43" s="72"/>
      <c r="E43" s="72"/>
      <c r="F43" s="72"/>
      <c r="G43" s="72"/>
      <c r="H43" s="72"/>
      <c r="I43" s="72"/>
      <c r="J43" s="41"/>
      <c r="L43" s="42"/>
      <c r="M43" s="42"/>
      <c r="N43" s="42"/>
      <c r="O43" s="42"/>
      <c r="P43" s="42"/>
      <c r="Q43" s="42"/>
    </row>
    <row r="44" spans="2:17" ht="17" thickBot="1" x14ac:dyDescent="0.25">
      <c r="B44" s="40"/>
      <c r="C44" s="72"/>
      <c r="D44" s="72"/>
      <c r="E44" s="72"/>
      <c r="F44" s="72"/>
      <c r="G44" s="72"/>
      <c r="H44" s="72"/>
      <c r="I44" s="72"/>
      <c r="J44" s="41"/>
      <c r="M44" s="43"/>
      <c r="N44" s="43"/>
      <c r="O44" s="43"/>
      <c r="P44" s="43"/>
      <c r="Q44" s="43"/>
    </row>
    <row r="45" spans="2:17" ht="24" x14ac:dyDescent="0.3">
      <c r="B45" s="40"/>
      <c r="C45" s="72"/>
      <c r="D45" s="72"/>
      <c r="E45" s="72"/>
      <c r="F45" s="72"/>
      <c r="G45" s="72"/>
      <c r="H45" s="72"/>
      <c r="I45" s="72"/>
      <c r="J45" s="41"/>
      <c r="N45" s="44" t="s">
        <v>27</v>
      </c>
      <c r="O45" s="45"/>
      <c r="P45" s="46"/>
    </row>
    <row r="46" spans="2:17" ht="34" x14ac:dyDescent="0.2">
      <c r="B46" s="40"/>
      <c r="C46" s="72"/>
      <c r="D46" s="72"/>
      <c r="E46" s="72"/>
      <c r="F46" s="72"/>
      <c r="G46" s="72"/>
      <c r="H46" s="72"/>
      <c r="I46" s="72"/>
      <c r="J46" s="41"/>
      <c r="M46" s="47"/>
      <c r="N46" s="48" t="s">
        <v>24</v>
      </c>
      <c r="O46" s="49" t="s">
        <v>25</v>
      </c>
      <c r="P46" s="50" t="s">
        <v>26</v>
      </c>
    </row>
    <row r="47" spans="2:17" x14ac:dyDescent="0.2">
      <c r="B47" s="40"/>
      <c r="C47" s="72"/>
      <c r="D47" s="72"/>
      <c r="E47" s="72"/>
      <c r="F47" s="72"/>
      <c r="G47" s="72"/>
      <c r="H47" s="72"/>
      <c r="I47" s="72"/>
      <c r="J47" s="41"/>
      <c r="M47" s="51" t="s">
        <v>3</v>
      </c>
      <c r="N47" s="52"/>
      <c r="O47" s="53"/>
      <c r="P47" s="54"/>
      <c r="Q47" s="55"/>
    </row>
    <row r="48" spans="2:17" x14ac:dyDescent="0.2">
      <c r="B48" s="40"/>
      <c r="C48" s="72"/>
      <c r="D48" s="72"/>
      <c r="E48" s="72"/>
      <c r="F48" s="72"/>
      <c r="G48" s="72"/>
      <c r="H48" s="72"/>
      <c r="I48" s="72"/>
      <c r="J48" s="41"/>
      <c r="M48" s="51" t="s">
        <v>4</v>
      </c>
      <c r="N48" s="52"/>
      <c r="O48" s="53"/>
      <c r="P48" s="54"/>
    </row>
    <row r="49" spans="2:17" x14ac:dyDescent="0.2">
      <c r="B49" s="40"/>
      <c r="C49" s="72"/>
      <c r="D49" s="72"/>
      <c r="E49" s="72"/>
      <c r="F49" s="72"/>
      <c r="G49" s="72"/>
      <c r="H49" s="72"/>
      <c r="I49" s="72"/>
      <c r="J49" s="41"/>
      <c r="M49" s="51" t="s">
        <v>5</v>
      </c>
      <c r="N49" s="52"/>
      <c r="O49" s="53"/>
      <c r="P49" s="54"/>
    </row>
    <row r="50" spans="2:17" x14ac:dyDescent="0.2">
      <c r="B50" s="40"/>
      <c r="C50" s="72"/>
      <c r="D50" s="72"/>
      <c r="E50" s="72"/>
      <c r="F50" s="72"/>
      <c r="G50" s="72"/>
      <c r="H50" s="72"/>
      <c r="I50" s="72"/>
      <c r="J50" s="41"/>
      <c r="M50" s="51" t="s">
        <v>7</v>
      </c>
      <c r="N50" s="52"/>
      <c r="O50" s="53"/>
      <c r="P50" s="54"/>
    </row>
    <row r="51" spans="2:17" x14ac:dyDescent="0.2">
      <c r="B51" s="40"/>
      <c r="C51" s="72"/>
      <c r="D51" s="72"/>
      <c r="E51" s="72"/>
      <c r="F51" s="72"/>
      <c r="G51" s="72"/>
      <c r="H51" s="72"/>
      <c r="I51" s="72"/>
      <c r="J51" s="41"/>
      <c r="M51" s="51" t="s">
        <v>8</v>
      </c>
      <c r="N51" s="52"/>
      <c r="O51" s="53"/>
      <c r="P51" s="54"/>
    </row>
    <row r="52" spans="2:17" x14ac:dyDescent="0.2">
      <c r="B52" s="40"/>
      <c r="C52" s="72"/>
      <c r="D52" s="72"/>
      <c r="E52" s="72"/>
      <c r="F52" s="72"/>
      <c r="G52" s="72"/>
      <c r="H52" s="72"/>
      <c r="I52" s="72"/>
      <c r="J52" s="41"/>
      <c r="M52" s="51" t="s">
        <v>9</v>
      </c>
      <c r="N52" s="52"/>
      <c r="O52" s="53"/>
      <c r="P52" s="54"/>
    </row>
    <row r="53" spans="2:17" x14ac:dyDescent="0.2">
      <c r="B53" s="40"/>
      <c r="C53" s="72"/>
      <c r="D53" s="72"/>
      <c r="E53" s="72"/>
      <c r="F53" s="72"/>
      <c r="G53" s="72"/>
      <c r="H53" s="72"/>
      <c r="I53" s="72"/>
      <c r="J53" s="41"/>
      <c r="M53" s="51" t="s">
        <v>10</v>
      </c>
      <c r="N53" s="52"/>
      <c r="O53" s="53"/>
      <c r="P53" s="54"/>
    </row>
    <row r="54" spans="2:17" x14ac:dyDescent="0.2">
      <c r="B54" s="40"/>
      <c r="C54" s="72"/>
      <c r="D54" s="72"/>
      <c r="E54" s="72"/>
      <c r="F54" s="72"/>
      <c r="G54" s="72"/>
      <c r="H54" s="72"/>
      <c r="I54" s="72"/>
      <c r="J54" s="41"/>
      <c r="M54" s="51" t="s">
        <v>11</v>
      </c>
      <c r="N54" s="52"/>
      <c r="O54" s="53"/>
      <c r="P54" s="54"/>
    </row>
    <row r="55" spans="2:17" x14ac:dyDescent="0.2">
      <c r="B55" s="40"/>
      <c r="C55" s="72"/>
      <c r="D55" s="72"/>
      <c r="E55" s="72"/>
      <c r="F55" s="72"/>
      <c r="G55" s="72"/>
      <c r="H55" s="72"/>
      <c r="I55" s="72"/>
      <c r="J55" s="41"/>
      <c r="M55" s="51" t="s">
        <v>12</v>
      </c>
      <c r="N55" s="52"/>
      <c r="O55" s="53"/>
      <c r="P55" s="54"/>
    </row>
    <row r="56" spans="2:17" x14ac:dyDescent="0.2">
      <c r="B56" s="40"/>
      <c r="C56" s="72"/>
      <c r="D56" s="72"/>
      <c r="E56" s="72"/>
      <c r="F56" s="72"/>
      <c r="G56" s="72"/>
      <c r="H56" s="72"/>
      <c r="I56" s="72"/>
      <c r="J56" s="41"/>
      <c r="M56" s="51" t="s">
        <v>13</v>
      </c>
      <c r="N56" s="52"/>
      <c r="O56" s="53"/>
      <c r="P56" s="54"/>
    </row>
    <row r="57" spans="2:17" x14ac:dyDescent="0.2">
      <c r="B57" s="40"/>
      <c r="C57" s="72"/>
      <c r="D57" s="72"/>
      <c r="E57" s="72"/>
      <c r="F57" s="72"/>
      <c r="G57" s="72"/>
      <c r="H57" s="72"/>
      <c r="I57" s="72"/>
      <c r="J57" s="41"/>
      <c r="M57" s="51" t="s">
        <v>14</v>
      </c>
      <c r="N57" s="52"/>
      <c r="O57" s="53"/>
      <c r="P57" s="54"/>
    </row>
    <row r="58" spans="2:17" ht="17" thickBot="1" x14ac:dyDescent="0.25">
      <c r="B58" s="56"/>
      <c r="C58" s="57"/>
      <c r="D58" s="57"/>
      <c r="E58" s="57"/>
      <c r="F58" s="57"/>
      <c r="G58" s="57"/>
      <c r="H58" s="57"/>
      <c r="I58" s="57"/>
      <c r="J58" s="58"/>
      <c r="M58" s="59" t="s">
        <v>15</v>
      </c>
      <c r="N58" s="60"/>
      <c r="O58" s="61"/>
      <c r="P58" s="62"/>
    </row>
    <row r="59" spans="2:17" x14ac:dyDescent="0.2">
      <c r="M59" s="59" t="s">
        <v>16</v>
      </c>
      <c r="N59" s="63"/>
      <c r="O59" s="64"/>
      <c r="P59" s="65"/>
    </row>
    <row r="60" spans="2:17" ht="17" thickBot="1" x14ac:dyDescent="0.25">
      <c r="M60" s="59" t="s">
        <v>17</v>
      </c>
      <c r="N60" s="66"/>
      <c r="O60" s="67"/>
      <c r="P60" s="68"/>
    </row>
    <row r="61" spans="2:17" ht="17" thickBot="1" x14ac:dyDescent="0.25"/>
    <row r="62" spans="2:17" ht="24" x14ac:dyDescent="0.3">
      <c r="N62" s="44" t="s">
        <v>28</v>
      </c>
      <c r="O62" s="45"/>
      <c r="P62" s="46"/>
    </row>
    <row r="63" spans="2:17" ht="34" x14ac:dyDescent="0.2">
      <c r="M63" s="47"/>
      <c r="N63" s="48" t="s">
        <v>24</v>
      </c>
      <c r="O63" s="49" t="s">
        <v>25</v>
      </c>
      <c r="P63" s="50" t="s">
        <v>26</v>
      </c>
    </row>
    <row r="64" spans="2:17" x14ac:dyDescent="0.2">
      <c r="M64" s="51" t="s">
        <v>3</v>
      </c>
      <c r="N64" s="52"/>
      <c r="O64" s="53"/>
      <c r="P64" s="54"/>
      <c r="Q64" s="55"/>
    </row>
    <row r="65" spans="13:16" x14ac:dyDescent="0.2">
      <c r="M65" s="51" t="s">
        <v>4</v>
      </c>
      <c r="N65" s="52"/>
      <c r="O65" s="53"/>
      <c r="P65" s="54"/>
    </row>
    <row r="66" spans="13:16" x14ac:dyDescent="0.2">
      <c r="M66" s="51" t="s">
        <v>5</v>
      </c>
      <c r="N66" s="52"/>
      <c r="O66" s="53"/>
      <c r="P66" s="54"/>
    </row>
    <row r="67" spans="13:16" x14ac:dyDescent="0.2">
      <c r="M67" s="51" t="s">
        <v>7</v>
      </c>
      <c r="N67" s="52"/>
      <c r="O67" s="53"/>
      <c r="P67" s="69"/>
    </row>
    <row r="68" spans="13:16" x14ac:dyDescent="0.2">
      <c r="M68" s="51" t="s">
        <v>8</v>
      </c>
      <c r="N68" s="52"/>
      <c r="O68" s="53"/>
      <c r="P68" s="69"/>
    </row>
    <row r="69" spans="13:16" x14ac:dyDescent="0.2">
      <c r="M69" s="51" t="s">
        <v>9</v>
      </c>
      <c r="N69" s="52"/>
      <c r="O69" s="53"/>
      <c r="P69" s="69"/>
    </row>
    <row r="70" spans="13:16" x14ac:dyDescent="0.2">
      <c r="M70" s="51" t="s">
        <v>10</v>
      </c>
      <c r="N70" s="52"/>
      <c r="O70" s="53"/>
      <c r="P70" s="54"/>
    </row>
    <row r="71" spans="13:16" x14ac:dyDescent="0.2">
      <c r="M71" s="51" t="s">
        <v>11</v>
      </c>
      <c r="N71" s="52"/>
      <c r="O71" s="53"/>
      <c r="P71" s="54"/>
    </row>
    <row r="72" spans="13:16" x14ac:dyDescent="0.2">
      <c r="M72" s="51" t="s">
        <v>12</v>
      </c>
      <c r="N72" s="52"/>
      <c r="O72" s="53"/>
      <c r="P72" s="54"/>
    </row>
    <row r="73" spans="13:16" x14ac:dyDescent="0.2">
      <c r="M73" s="51" t="s">
        <v>13</v>
      </c>
      <c r="N73" s="52"/>
      <c r="O73" s="53"/>
      <c r="P73" s="54"/>
    </row>
    <row r="74" spans="13:16" x14ac:dyDescent="0.2">
      <c r="M74" s="51" t="s">
        <v>14</v>
      </c>
      <c r="N74" s="52"/>
      <c r="O74" s="53"/>
      <c r="P74" s="54"/>
    </row>
    <row r="75" spans="13:16" x14ac:dyDescent="0.2">
      <c r="M75" s="59" t="s">
        <v>15</v>
      </c>
      <c r="N75" s="70"/>
      <c r="O75" s="71"/>
      <c r="P75" s="62"/>
    </row>
    <row r="76" spans="13:16" x14ac:dyDescent="0.2">
      <c r="M76" s="59" t="s">
        <v>16</v>
      </c>
      <c r="N76" s="63"/>
      <c r="O76" s="64"/>
      <c r="P76" s="65"/>
    </row>
    <row r="77" spans="13:16" ht="17" thickBot="1" x14ac:dyDescent="0.25">
      <c r="M77" s="59" t="s">
        <v>17</v>
      </c>
      <c r="N77" s="66"/>
      <c r="O77" s="67"/>
      <c r="P77" s="68"/>
    </row>
    <row r="78" spans="13:16" ht="17" thickBot="1" x14ac:dyDescent="0.25"/>
    <row r="79" spans="13:16" ht="24" x14ac:dyDescent="0.3">
      <c r="N79" s="44" t="s">
        <v>29</v>
      </c>
      <c r="O79" s="45"/>
      <c r="P79" s="46"/>
    </row>
    <row r="80" spans="13:16" ht="34" x14ac:dyDescent="0.2">
      <c r="M80" s="47"/>
      <c r="N80" s="48" t="s">
        <v>24</v>
      </c>
      <c r="O80" s="49" t="s">
        <v>25</v>
      </c>
      <c r="P80" s="50" t="s">
        <v>26</v>
      </c>
    </row>
    <row r="81" spans="13:17" x14ac:dyDescent="0.2">
      <c r="M81" s="51" t="s">
        <v>3</v>
      </c>
      <c r="N81" s="52"/>
      <c r="O81" s="53"/>
      <c r="P81" s="54"/>
      <c r="Q81" s="55"/>
    </row>
    <row r="82" spans="13:17" x14ac:dyDescent="0.2">
      <c r="M82" s="51" t="s">
        <v>4</v>
      </c>
      <c r="N82" s="52"/>
      <c r="O82" s="53"/>
      <c r="P82" s="54"/>
    </row>
    <row r="83" spans="13:17" x14ac:dyDescent="0.2">
      <c r="M83" s="51" t="s">
        <v>5</v>
      </c>
      <c r="N83" s="52"/>
      <c r="O83" s="53"/>
      <c r="P83" s="54"/>
    </row>
    <row r="84" spans="13:17" x14ac:dyDescent="0.2">
      <c r="M84" s="51" t="s">
        <v>7</v>
      </c>
      <c r="N84" s="52"/>
      <c r="O84" s="53"/>
      <c r="P84" s="69"/>
    </row>
    <row r="85" spans="13:17" x14ac:dyDescent="0.2">
      <c r="M85" s="51" t="s">
        <v>8</v>
      </c>
      <c r="N85" s="52"/>
      <c r="O85" s="53"/>
      <c r="P85" s="69"/>
    </row>
    <row r="86" spans="13:17" x14ac:dyDescent="0.2">
      <c r="M86" s="51" t="s">
        <v>9</v>
      </c>
      <c r="N86" s="52"/>
      <c r="O86" s="53"/>
      <c r="P86" s="69"/>
    </row>
    <row r="87" spans="13:17" x14ac:dyDescent="0.2">
      <c r="M87" s="51" t="s">
        <v>10</v>
      </c>
      <c r="N87" s="52"/>
      <c r="O87" s="53"/>
      <c r="P87" s="54"/>
    </row>
    <row r="88" spans="13:17" x14ac:dyDescent="0.2">
      <c r="M88" s="51" t="s">
        <v>11</v>
      </c>
      <c r="N88" s="52"/>
      <c r="O88" s="53"/>
      <c r="P88" s="54"/>
    </row>
    <row r="89" spans="13:17" x14ac:dyDescent="0.2">
      <c r="M89" s="51" t="s">
        <v>12</v>
      </c>
      <c r="N89" s="52"/>
      <c r="O89" s="53"/>
      <c r="P89" s="54"/>
    </row>
    <row r="90" spans="13:17" x14ac:dyDescent="0.2">
      <c r="M90" s="51" t="s">
        <v>13</v>
      </c>
      <c r="N90" s="52"/>
      <c r="O90" s="53"/>
      <c r="P90" s="54"/>
    </row>
    <row r="91" spans="13:17" x14ac:dyDescent="0.2">
      <c r="M91" s="51" t="s">
        <v>14</v>
      </c>
      <c r="N91" s="52"/>
      <c r="O91" s="53"/>
      <c r="P91" s="54"/>
    </row>
    <row r="92" spans="13:17" x14ac:dyDescent="0.2">
      <c r="M92" s="59" t="s">
        <v>15</v>
      </c>
      <c r="N92" s="60"/>
      <c r="O92" s="61"/>
      <c r="P92" s="62"/>
    </row>
    <row r="93" spans="13:17" x14ac:dyDescent="0.2">
      <c r="M93" s="59" t="s">
        <v>16</v>
      </c>
      <c r="N93" s="63"/>
      <c r="O93" s="64"/>
      <c r="P93" s="65"/>
    </row>
    <row r="94" spans="13:17" ht="17" thickBot="1" x14ac:dyDescent="0.25">
      <c r="M94" s="59" t="s">
        <v>17</v>
      </c>
      <c r="N94" s="66"/>
      <c r="O94" s="67"/>
      <c r="P94" s="68"/>
    </row>
  </sheetData>
  <sheetProtection formatCells="0"/>
  <mergeCells count="12">
    <mergeCell ref="N62:P62"/>
    <mergeCell ref="N79:P79"/>
    <mergeCell ref="Q16:Q30"/>
    <mergeCell ref="L14:L15"/>
    <mergeCell ref="L31:M31"/>
    <mergeCell ref="L41:Q43"/>
    <mergeCell ref="N15:P15"/>
    <mergeCell ref="B8:C10"/>
    <mergeCell ref="B12:I12"/>
    <mergeCell ref="B14:J31"/>
    <mergeCell ref="N45:P45"/>
    <mergeCell ref="B33:J58"/>
  </mergeCells>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B4DFE-5005-D742-99AB-1BEED0388714}">
  <sheetPr codeName="Sheet1"/>
  <dimension ref="F1:G10"/>
  <sheetViews>
    <sheetView workbookViewId="0">
      <selection activeCell="G38" sqref="G38"/>
    </sheetView>
  </sheetViews>
  <sheetFormatPr baseColWidth="10" defaultRowHeight="16" x14ac:dyDescent="0.2"/>
  <cols>
    <col min="1" max="16384" width="10.83203125" style="1"/>
  </cols>
  <sheetData>
    <row r="1" spans="6:7" ht="10" customHeight="1" x14ac:dyDescent="0.2">
      <c r="F1" s="1">
        <v>1</v>
      </c>
      <c r="G1" s="1">
        <v>2</v>
      </c>
    </row>
    <row r="2" spans="6:7" ht="10" customHeight="1" x14ac:dyDescent="0.2">
      <c r="F2" s="1">
        <v>2</v>
      </c>
      <c r="G2" s="1">
        <v>4</v>
      </c>
    </row>
    <row r="3" spans="6:7" ht="10" customHeight="1" x14ac:dyDescent="0.2">
      <c r="F3" s="1">
        <v>3</v>
      </c>
      <c r="G3" s="1">
        <v>6</v>
      </c>
    </row>
    <row r="4" spans="6:7" ht="10" customHeight="1" x14ac:dyDescent="0.2">
      <c r="F4" s="1">
        <v>4</v>
      </c>
      <c r="G4" s="1">
        <v>8</v>
      </c>
    </row>
    <row r="5" spans="6:7" ht="10" customHeight="1" x14ac:dyDescent="0.2">
      <c r="F5" s="1">
        <v>5</v>
      </c>
      <c r="G5" s="1">
        <v>10</v>
      </c>
    </row>
    <row r="6" spans="6:7" ht="10" customHeight="1" x14ac:dyDescent="0.2"/>
    <row r="7" spans="6:7" ht="10" customHeight="1" x14ac:dyDescent="0.2"/>
    <row r="8" spans="6:7" ht="10" customHeight="1" x14ac:dyDescent="0.2"/>
    <row r="9" spans="6:7" ht="10" customHeight="1" x14ac:dyDescent="0.2"/>
    <row r="10" spans="6:7" ht="10" customHeight="1" x14ac:dyDescent="0.2"/>
  </sheetData>
  <sheetProtection formatColumns="0" formatRows="0" sort="0" autoFilter="0"/>
  <scenarios current="1" show="1">
    <scenario name="Sheet1_1" locked="1" count="3" user="paulbrower" comment="Created by Brower, Paul on 1/13/2024_x000a_Modified by Brower, Paul on 1/13/2024_x000a_Modified by paulbrower on 1/14/2024">
      <inputCells r="F5" val="1"/>
      <inputCells r="F6" val="2"/>
      <inputCells r="F7" val="3"/>
    </scenario>
    <scenario name="Sheet1_2" locked="1" count="3" user="Brower, Paul" comment="Created by Brower, Paul on 1/13/2024">
      <inputCells r="F5" val="200000"/>
      <inputCells r="F6" val="15"/>
      <inputCells r="F7" val="0.03"/>
    </scenario>
    <scenario name="Sheet1_1_2" locked="1" count="3" user="Brower, Paul" comment="Created by Brower, Paul on 1/13/2024">
      <inputCells r="F15" val="100000"/>
      <inputCells r="F16" val="30"/>
      <inputCells r="F17" val="0.04"/>
    </scenario>
    <scenario name="Sheet1_1_3" locked="1" count="3" user="Brower, Paul" comment="Created by Brower, Paul on 1/13/2024">
      <inputCells r="F15" val="100000"/>
      <inputCells r="F16" val="30"/>
      <inputCells r="F17" val="0.04"/>
    </scenario>
    <scenario name="Sheet1_1_4" count="3" user="Brower, Paul" comment="Created by Brower, Paul on 1/13/2024">
      <inputCells r="F15" val="100000"/>
      <inputCells r="F16" val="30"/>
      <inputCells r="F17" val="0.04"/>
    </scenario>
    <scenario name="Sheet1_1_5" locked="1" count="3" user="Brower, Paul" comment="Created by Brower, Paul on 1/13/2024">
      <inputCells r="F15" val="100000"/>
      <inputCells r="F16" val="30"/>
      <inputCells r="F17" val="0.04"/>
    </scenario>
    <scenario name="Sheet1_1_6" locked="1" count="3" user="Brower, Paul" comment="Created by Brower, Paul on 1/13/2024">
      <inputCells r="F15" val="100000"/>
      <inputCells r="F16" val="30"/>
      <inputCells r="F17" val="0.04"/>
    </scenario>
    <scenario name="Sheet1_1_7" count="3" user="Brower, Paul" comment="Created by Brower, Paul on 1/13/2024">
      <inputCells r="F15" val="100000"/>
      <inputCells r="F16" val="30"/>
      <inputCells r="F17" val="0.04"/>
    </scenario>
  </scenario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444B5-2BFA-574A-A07B-53049F4698E1}">
  <sheetPr codeName="Sheet2"/>
  <dimension ref="F1:G10"/>
  <sheetViews>
    <sheetView workbookViewId="0"/>
  </sheetViews>
  <sheetFormatPr baseColWidth="10" defaultRowHeight="16" x14ac:dyDescent="0.2"/>
  <cols>
    <col min="1" max="16384" width="10.83203125" style="1"/>
  </cols>
  <sheetData>
    <row r="1" spans="6:7" ht="10" customHeight="1" x14ac:dyDescent="0.2">
      <c r="F1" s="1">
        <v>1</v>
      </c>
      <c r="G1" s="1">
        <v>2</v>
      </c>
    </row>
    <row r="2" spans="6:7" ht="10" customHeight="1" x14ac:dyDescent="0.2">
      <c r="F2" s="1">
        <v>2</v>
      </c>
      <c r="G2" s="1">
        <v>4</v>
      </c>
    </row>
    <row r="3" spans="6:7" ht="10" customHeight="1" x14ac:dyDescent="0.2">
      <c r="F3" s="1">
        <v>3</v>
      </c>
      <c r="G3" s="1">
        <v>6</v>
      </c>
    </row>
    <row r="4" spans="6:7" ht="10" customHeight="1" x14ac:dyDescent="0.2">
      <c r="F4" s="1">
        <v>4</v>
      </c>
      <c r="G4" s="1">
        <v>8</v>
      </c>
    </row>
    <row r="5" spans="6:7" ht="10" customHeight="1" x14ac:dyDescent="0.2">
      <c r="F5" s="1">
        <v>5</v>
      </c>
      <c r="G5" s="1">
        <v>10</v>
      </c>
    </row>
    <row r="6" spans="6:7" ht="10" customHeight="1" x14ac:dyDescent="0.2"/>
    <row r="7" spans="6:7" ht="10" customHeight="1" x14ac:dyDescent="0.2"/>
    <row r="8" spans="6:7" ht="10" customHeight="1" x14ac:dyDescent="0.2"/>
    <row r="9" spans="6:7" ht="10" customHeight="1" x14ac:dyDescent="0.2"/>
    <row r="10" spans="6:7" ht="10" customHeight="1" x14ac:dyDescent="0.2"/>
  </sheetData>
  <sheetProtection formatCells="0" formatColumns="0" formatRows="0" sort="0" autoFilter="0"/>
  <scenarios current="1" show="1">
    <scenario name="Sheet2_1" locked="1" count="3" user="paulbrower" comment="Created by Brower, Paul on 1/13/2024_x000a_Modified by Brower, Paul on 1/13/2024_x000a_Modified by paulbrower on 1/14/2024">
      <inputCells r="F5" val="1"/>
      <inputCells r="F6" val="2"/>
      <inputCells r="F7" val="3"/>
    </scenario>
    <scenario name="Sheet2_2" locked="1" count="3" user="Brower, Paul" comment="Created by Brower, Paul on 1/13/2024">
      <inputCells r="F5" val="200000"/>
      <inputCells r="F6" val="15"/>
      <inputCells r="F7" val="0.03"/>
    </scenario>
    <scenario name="Sheet2_1_2" locked="1" count="3" user="Brower, Paul" comment="Created by Brower, Paul on 1/13/2024">
      <inputCells r="F15" val="100000"/>
      <inputCells r="F16" val="30"/>
      <inputCells r="F17" val="0.04"/>
    </scenario>
    <scenario name="Sheet2_1_3" locked="1" count="3" user="Brower, Paul" comment="Created by Brower, Paul on 1/13/2024">
      <inputCells r="F15" val="100000"/>
      <inputCells r="F16" val="30"/>
      <inputCells r="F17" val="0.04"/>
    </scenario>
    <scenario name="Sheet2_1_4" locked="1" count="3" user="Brower, Paul" comment="Created by Brower, Paul on 1/13/2024">
      <inputCells r="F15" val="100000"/>
      <inputCells r="F16" val="30"/>
      <inputCells r="F17" val="0.04"/>
    </scenario>
    <scenario name="Sheet2_1_5" locked="1" count="3" user="Brower, Paul" comment="Created by Brower, Paul on 1/13/2024">
      <inputCells r="F15" val="100000"/>
      <inputCells r="F16" val="30"/>
      <inputCells r="F17" val="0.04"/>
    </scenario>
    <scenario name="Sheet2_1_6" locked="1" count="3" user="Brower, Paul" comment="Created by Brower, Paul on 1/13/2024">
      <inputCells r="F15" val="100000"/>
      <inputCells r="F16" val="30"/>
      <inputCells r="F17" val="0.04"/>
    </scenario>
    <scenario name="Sheet2_1_7" count="3" user="Brower, Paul" comment="Created by Brower, Paul on 1/13/2024">
      <inputCells r="F15" val="100000"/>
      <inputCells r="F16" val="30"/>
      <inputCells r="F17" val="0.04"/>
    </scenario>
  </scenarios>
  <sortState xmlns:xlrd2="http://schemas.microsoft.com/office/spreadsheetml/2017/richdata2" ref="F1:G5">
    <sortCondition ref="G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FF3A3-2D63-0640-8F58-29B7449D537C}">
  <sheetPr codeName="Sheet3"/>
  <dimension ref="F1:G10"/>
  <sheetViews>
    <sheetView workbookViewId="0"/>
  </sheetViews>
  <sheetFormatPr baseColWidth="10" defaultRowHeight="16" x14ac:dyDescent="0.2"/>
  <cols>
    <col min="1" max="16384" width="10.83203125" style="1"/>
  </cols>
  <sheetData>
    <row r="1" spans="6:7" ht="10" customHeight="1" x14ac:dyDescent="0.2">
      <c r="F1" s="1">
        <v>1</v>
      </c>
      <c r="G1" s="1">
        <v>2</v>
      </c>
    </row>
    <row r="2" spans="6:7" ht="10" customHeight="1" x14ac:dyDescent="0.2">
      <c r="F2" s="1">
        <v>2</v>
      </c>
      <c r="G2" s="1">
        <v>4</v>
      </c>
    </row>
    <row r="3" spans="6:7" ht="10" customHeight="1" x14ac:dyDescent="0.2">
      <c r="F3" s="1">
        <v>3</v>
      </c>
      <c r="G3" s="1">
        <v>6</v>
      </c>
    </row>
    <row r="4" spans="6:7" ht="10" customHeight="1" x14ac:dyDescent="0.2">
      <c r="F4" s="1">
        <v>4</v>
      </c>
      <c r="G4" s="1">
        <v>8</v>
      </c>
    </row>
    <row r="5" spans="6:7" ht="10" customHeight="1" x14ac:dyDescent="0.2">
      <c r="F5" s="1">
        <v>5</v>
      </c>
      <c r="G5" s="1">
        <v>10</v>
      </c>
    </row>
    <row r="6" spans="6:7" ht="10" customHeight="1" x14ac:dyDescent="0.2"/>
    <row r="7" spans="6:7" ht="10" customHeight="1" x14ac:dyDescent="0.2"/>
    <row r="8" spans="6:7" ht="10" customHeight="1" x14ac:dyDescent="0.2"/>
    <row r="9" spans="6:7" ht="10" customHeight="1" x14ac:dyDescent="0.2"/>
    <row r="10" spans="6:7" ht="10" customHeight="1" x14ac:dyDescent="0.2"/>
  </sheetData>
  <sheetProtection formatCells="0" formatColumns="0" formatRows="0" sort="0" autoFilter="0"/>
  <scenarios current="1" show="1">
    <scenario name="Sheet3_1" locked="1" count="3" user="paulbrower" comment="Created by Brower, Paul on 1/13/2024_x000a_Modified by Brower, Paul on 1/13/2024_x000a_Modified by paulbrower on 1/14/2024">
      <inputCells r="F5" val="1"/>
      <inputCells r="F6" val="2"/>
      <inputCells r="F7" val="3"/>
    </scenario>
    <scenario name="Sheet3_2" locked="1" count="3" user="Brower, Paul" comment="Created by Brower, Paul on 1/13/2024">
      <inputCells r="F5" val="200000"/>
      <inputCells r="F6" val="15"/>
      <inputCells r="F7" val="0.03"/>
    </scenario>
    <scenario name="Sheet3_1_2" locked="1" count="3" user="Brower, Paul" comment="Created by Brower, Paul on 1/13/2024">
      <inputCells r="F15" val="100000"/>
      <inputCells r="F16" val="30"/>
      <inputCells r="F17" val="0.04"/>
    </scenario>
    <scenario name="Sheet3_1_3" locked="1" count="3" user="Brower, Paul" comment="Created by Brower, Paul on 1/13/2024">
      <inputCells r="F15" val="100000"/>
      <inputCells r="F16" val="30"/>
      <inputCells r="F17" val="0.04"/>
    </scenario>
    <scenario name="Sheet3_1_4" locked="1" count="3" user="Brower, Paul" comment="Created by Brower, Paul on 1/13/2024">
      <inputCells r="F15" val="100000"/>
      <inputCells r="F16" val="30"/>
      <inputCells r="F17" val="0.04"/>
    </scenario>
    <scenario name="Sheet3_1_5" locked="1" count="3" user="Brower, Paul" comment="Created by Brower, Paul on 1/13/2024">
      <inputCells r="F15" val="100000"/>
      <inputCells r="F16" val="30"/>
      <inputCells r="F17" val="0.04"/>
    </scenario>
    <scenario name="Sheet3_1_6" locked="1" count="3" user="Brower, Paul" comment="Created by Brower, Paul on 1/13/2024">
      <inputCells r="F15" val="100000"/>
      <inputCells r="F16" val="30"/>
      <inputCells r="F17" val="0.04"/>
    </scenario>
    <scenario name="Sheet3_1_7" count="3" user="Brower, Paul" comment="Created by Brower, Paul on 1/13/2024">
      <inputCells r="F15" val="100000"/>
      <inputCells r="F16" val="30"/>
      <inputCells r="F17" val="0.04"/>
    </scenario>
  </scenario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Demo</vt:lpstr>
      <vt:lpstr>Sheet1</vt:lpstr>
      <vt:lpstr>Sheet2</vt:lpstr>
      <vt:lpstr>Sheet3</vt:lpstr>
      <vt:lpstr>ENUM_CALC_INFO</vt:lpstr>
      <vt:lpstr>FIND_ENUM</vt:lpstr>
      <vt:lpstr>FIND_ENUM_VAL</vt:lpstr>
      <vt:lpstr>SHEET1_RESULTS</vt:lpstr>
      <vt:lpstr>SHEET2_RESULTS</vt:lpstr>
      <vt:lpstr>SHEET3_RESULTS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paulbrower</cp:lastModifiedBy>
  <dcterms:created xsi:type="dcterms:W3CDTF">2022-09-12T02:07:41Z</dcterms:created>
  <dcterms:modified xsi:type="dcterms:W3CDTF">2024-01-14T23:41:09Z</dcterms:modified>
</cp:coreProperties>
</file>